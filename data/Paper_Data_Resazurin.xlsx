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heffieldhallam-my.sharepoint.com/personal/mh3438_hallam_shu_ac_uk/Documents/Data/Characterisation/AlamarBlue/"/>
    </mc:Choice>
  </mc:AlternateContent>
  <xr:revisionPtr revIDLastSave="6" documentId="8_{FC58A591-6BC9-47E9-8CA7-1CF17878ACF7}" xr6:coauthVersionLast="47" xr6:coauthVersionMax="47" xr10:uidLastSave="{490A0BF1-3198-4483-A5A5-406ECA700868}"/>
  <bookViews>
    <workbookView xWindow="-28920" yWindow="-120" windowWidth="29040" windowHeight="15720" activeTab="1" xr2:uid="{579D4337-5FDF-455A-9E31-B94BF734DA60}"/>
  </bookViews>
  <sheets>
    <sheet name="Healthy" sheetId="1" r:id="rId1"/>
    <sheet name="Canc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S19" i="2" l="1"/>
  <c r="AR48" i="2"/>
  <c r="AQ48" i="2"/>
  <c r="AP48" i="2"/>
  <c r="AO48" i="2"/>
  <c r="AN48" i="2"/>
  <c r="AM48" i="2"/>
  <c r="AS48" i="2" s="1"/>
  <c r="AK48" i="2"/>
  <c r="AJ48" i="2"/>
  <c r="AI48" i="2"/>
  <c r="AH48" i="2"/>
  <c r="AG48" i="2"/>
  <c r="AF48" i="2"/>
  <c r="AL48" i="2" s="1"/>
  <c r="AD48" i="2"/>
  <c r="AC48" i="2"/>
  <c r="AB48" i="2"/>
  <c r="AA48" i="2"/>
  <c r="Z48" i="2"/>
  <c r="Y48" i="2"/>
  <c r="AE48" i="2" s="1"/>
  <c r="AS47" i="2"/>
  <c r="AS46" i="2"/>
  <c r="AL46" i="2"/>
  <c r="AE46" i="2"/>
  <c r="AS45" i="2"/>
  <c r="AL45" i="2"/>
  <c r="AE45" i="2"/>
  <c r="AR41" i="2"/>
  <c r="AQ41" i="2"/>
  <c r="AP41" i="2"/>
  <c r="AO41" i="2"/>
  <c r="AN41" i="2"/>
  <c r="AM41" i="2"/>
  <c r="AK41" i="2"/>
  <c r="AJ41" i="2"/>
  <c r="AI41" i="2"/>
  <c r="AH41" i="2"/>
  <c r="AG41" i="2"/>
  <c r="AF41" i="2"/>
  <c r="AL41" i="2" s="1"/>
  <c r="AD41" i="2"/>
  <c r="AC41" i="2"/>
  <c r="AB41" i="2"/>
  <c r="AA41" i="2"/>
  <c r="Z41" i="2"/>
  <c r="Y41" i="2"/>
  <c r="AS40" i="2"/>
  <c r="AS39" i="2"/>
  <c r="AL39" i="2"/>
  <c r="AE39" i="2"/>
  <c r="AS38" i="2"/>
  <c r="AL38" i="2"/>
  <c r="AE38" i="2"/>
  <c r="AR34" i="2"/>
  <c r="AQ34" i="2"/>
  <c r="AP34" i="2"/>
  <c r="AO34" i="2"/>
  <c r="AN34" i="2"/>
  <c r="AM34" i="2"/>
  <c r="AK34" i="2"/>
  <c r="AJ34" i="2"/>
  <c r="AI34" i="2"/>
  <c r="AH34" i="2"/>
  <c r="AG34" i="2"/>
  <c r="AF34" i="2"/>
  <c r="AL34" i="2" s="1"/>
  <c r="AD34" i="2"/>
  <c r="AC34" i="2"/>
  <c r="AB34" i="2"/>
  <c r="AA34" i="2"/>
  <c r="Z34" i="2"/>
  <c r="Y34" i="2"/>
  <c r="AE34" i="2" s="1"/>
  <c r="AS33" i="2"/>
  <c r="AS32" i="2"/>
  <c r="AL32" i="2"/>
  <c r="AE32" i="2"/>
  <c r="AS31" i="2"/>
  <c r="AL31" i="2"/>
  <c r="AE31" i="2"/>
  <c r="AR27" i="2"/>
  <c r="AQ27" i="2"/>
  <c r="AP27" i="2"/>
  <c r="AO27" i="2"/>
  <c r="AN27" i="2"/>
  <c r="AM27" i="2"/>
  <c r="AS27" i="2" s="1"/>
  <c r="AK27" i="2"/>
  <c r="AJ27" i="2"/>
  <c r="AI27" i="2"/>
  <c r="AH27" i="2"/>
  <c r="AG27" i="2"/>
  <c r="AF27" i="2"/>
  <c r="AL27" i="2" s="1"/>
  <c r="AD27" i="2"/>
  <c r="AC27" i="2"/>
  <c r="AB27" i="2"/>
  <c r="AA27" i="2"/>
  <c r="Z27" i="2"/>
  <c r="Y27" i="2"/>
  <c r="AE27" i="2" s="1"/>
  <c r="AS26" i="2"/>
  <c r="AS25" i="2"/>
  <c r="AL25" i="2"/>
  <c r="AE25" i="2"/>
  <c r="AS24" i="2"/>
  <c r="AL24" i="2"/>
  <c r="AE24" i="2"/>
  <c r="AR20" i="2"/>
  <c r="AQ20" i="2"/>
  <c r="AP20" i="2"/>
  <c r="AO20" i="2"/>
  <c r="AN20" i="2"/>
  <c r="AM20" i="2"/>
  <c r="AK20" i="2"/>
  <c r="AJ20" i="2"/>
  <c r="AI20" i="2"/>
  <c r="AH20" i="2"/>
  <c r="AG20" i="2"/>
  <c r="AF20" i="2"/>
  <c r="AD20" i="2"/>
  <c r="AC20" i="2"/>
  <c r="AB20" i="2"/>
  <c r="AA20" i="2"/>
  <c r="Z20" i="2"/>
  <c r="Y20" i="2"/>
  <c r="AE20" i="2" s="1"/>
  <c r="AS18" i="2"/>
  <c r="AL18" i="2"/>
  <c r="AE18" i="2"/>
  <c r="AS17" i="2"/>
  <c r="AL17" i="2"/>
  <c r="AE17" i="2"/>
  <c r="AR13" i="2"/>
  <c r="AQ13" i="2"/>
  <c r="AP13" i="2"/>
  <c r="AO13" i="2"/>
  <c r="AN13" i="2"/>
  <c r="AM13" i="2"/>
  <c r="AK13" i="2"/>
  <c r="AJ13" i="2"/>
  <c r="AI13" i="2"/>
  <c r="AH13" i="2"/>
  <c r="AG13" i="2"/>
  <c r="AF13" i="2"/>
  <c r="AD13" i="2"/>
  <c r="AC13" i="2"/>
  <c r="AB13" i="2"/>
  <c r="AA13" i="2"/>
  <c r="Z13" i="2"/>
  <c r="Y13" i="2"/>
  <c r="AS12" i="2"/>
  <c r="AS11" i="2"/>
  <c r="AL11" i="2"/>
  <c r="AE11" i="2"/>
  <c r="AS10" i="2"/>
  <c r="AL10" i="2"/>
  <c r="AE10" i="2"/>
  <c r="AR6" i="2"/>
  <c r="AQ6" i="2"/>
  <c r="AP6" i="2"/>
  <c r="AO6" i="2"/>
  <c r="AN6" i="2"/>
  <c r="AM6" i="2"/>
  <c r="AS6" i="2" s="1"/>
  <c r="AK6" i="2"/>
  <c r="AJ6" i="2"/>
  <c r="AI6" i="2"/>
  <c r="AH6" i="2"/>
  <c r="AG6" i="2"/>
  <c r="AF6" i="2"/>
  <c r="AL6" i="2" s="1"/>
  <c r="AD6" i="2"/>
  <c r="AC6" i="2"/>
  <c r="AB6" i="2"/>
  <c r="AA6" i="2"/>
  <c r="Z6" i="2"/>
  <c r="Y6" i="2"/>
  <c r="AS5" i="2"/>
  <c r="AS4" i="2"/>
  <c r="AL4" i="2"/>
  <c r="AE4" i="2"/>
  <c r="AS3" i="2"/>
  <c r="AL3" i="2"/>
  <c r="AE3" i="2"/>
  <c r="U48" i="2"/>
  <c r="T48" i="2"/>
  <c r="S48" i="2"/>
  <c r="R48" i="2"/>
  <c r="Q48" i="2"/>
  <c r="P48" i="2"/>
  <c r="N48" i="2"/>
  <c r="M48" i="2"/>
  <c r="L48" i="2"/>
  <c r="K48" i="2"/>
  <c r="J48" i="2"/>
  <c r="I48" i="2"/>
  <c r="D48" i="2"/>
  <c r="G48" i="2"/>
  <c r="F48" i="2"/>
  <c r="E48" i="2"/>
  <c r="H48" i="2"/>
  <c r="C48" i="2"/>
  <c r="B48" i="2"/>
  <c r="U41" i="2"/>
  <c r="T41" i="2"/>
  <c r="S41" i="2"/>
  <c r="R41" i="2"/>
  <c r="Q41" i="2"/>
  <c r="P41" i="2"/>
  <c r="V41" i="2" s="1"/>
  <c r="N41" i="2"/>
  <c r="M41" i="2"/>
  <c r="L41" i="2"/>
  <c r="K41" i="2"/>
  <c r="J41" i="2"/>
  <c r="I41" i="2"/>
  <c r="G41" i="2"/>
  <c r="F41" i="2"/>
  <c r="E41" i="2"/>
  <c r="D41" i="2"/>
  <c r="C41" i="2"/>
  <c r="B41" i="2"/>
  <c r="V33" i="2"/>
  <c r="V40" i="2"/>
  <c r="U34" i="2"/>
  <c r="T34" i="2"/>
  <c r="S34" i="2"/>
  <c r="R34" i="2"/>
  <c r="Q34" i="2"/>
  <c r="P34" i="2"/>
  <c r="N34" i="2"/>
  <c r="M34" i="2"/>
  <c r="L34" i="2"/>
  <c r="K34" i="2"/>
  <c r="J34" i="2"/>
  <c r="I34" i="2"/>
  <c r="D34" i="2"/>
  <c r="F34" i="2"/>
  <c r="G34" i="2"/>
  <c r="E34" i="2"/>
  <c r="C34" i="2"/>
  <c r="B34" i="2"/>
  <c r="U20" i="2"/>
  <c r="T20" i="2"/>
  <c r="S20" i="2"/>
  <c r="R20" i="2"/>
  <c r="Q20" i="2"/>
  <c r="P20" i="2"/>
  <c r="N20" i="2"/>
  <c r="M20" i="2"/>
  <c r="L20" i="2"/>
  <c r="K20" i="2"/>
  <c r="J20" i="2"/>
  <c r="I20" i="2"/>
  <c r="U27" i="2"/>
  <c r="T27" i="2"/>
  <c r="S27" i="2"/>
  <c r="R27" i="2"/>
  <c r="Q27" i="2"/>
  <c r="P27" i="2"/>
  <c r="V27" i="2" s="1"/>
  <c r="N27" i="2"/>
  <c r="M27" i="2"/>
  <c r="L27" i="2"/>
  <c r="K27" i="2"/>
  <c r="J27" i="2"/>
  <c r="I27" i="2"/>
  <c r="G27" i="2"/>
  <c r="F27" i="2"/>
  <c r="E27" i="2"/>
  <c r="D27" i="2"/>
  <c r="C27" i="2"/>
  <c r="B27" i="2"/>
  <c r="V19" i="2"/>
  <c r="G20" i="2"/>
  <c r="F20" i="2"/>
  <c r="E20" i="2"/>
  <c r="D20" i="2"/>
  <c r="C20" i="2"/>
  <c r="B20" i="2"/>
  <c r="U13" i="2"/>
  <c r="T13" i="2"/>
  <c r="S13" i="2"/>
  <c r="R13" i="2"/>
  <c r="Q13" i="2"/>
  <c r="P13" i="2"/>
  <c r="N13" i="2"/>
  <c r="M13" i="2"/>
  <c r="L13" i="2"/>
  <c r="K13" i="2"/>
  <c r="J13" i="2"/>
  <c r="I13" i="2"/>
  <c r="O13" i="2" s="1"/>
  <c r="G13" i="2"/>
  <c r="F13" i="2"/>
  <c r="E13" i="2"/>
  <c r="D13" i="2"/>
  <c r="C13" i="2"/>
  <c r="B13" i="2"/>
  <c r="H11" i="2"/>
  <c r="U6" i="2"/>
  <c r="T6" i="2"/>
  <c r="S6" i="2"/>
  <c r="R6" i="2"/>
  <c r="Q6" i="2"/>
  <c r="P6" i="2"/>
  <c r="V6" i="2" s="1"/>
  <c r="N6" i="2"/>
  <c r="M6" i="2"/>
  <c r="L6" i="2"/>
  <c r="K6" i="2"/>
  <c r="J6" i="2"/>
  <c r="I6" i="2"/>
  <c r="G6" i="2"/>
  <c r="F6" i="2"/>
  <c r="E6" i="2"/>
  <c r="D6" i="2"/>
  <c r="C6" i="2"/>
  <c r="B6" i="2"/>
  <c r="V47" i="2"/>
  <c r="V26" i="2"/>
  <c r="V12" i="2"/>
  <c r="V5" i="2"/>
  <c r="V46" i="2"/>
  <c r="O46" i="2"/>
  <c r="H46" i="2"/>
  <c r="V45" i="2"/>
  <c r="O45" i="2"/>
  <c r="H45" i="2"/>
  <c r="V39" i="2"/>
  <c r="O39" i="2"/>
  <c r="H39" i="2"/>
  <c r="V38" i="2"/>
  <c r="O38" i="2"/>
  <c r="H38" i="2"/>
  <c r="V32" i="2"/>
  <c r="O32" i="2"/>
  <c r="H32" i="2"/>
  <c r="V31" i="2"/>
  <c r="O31" i="2"/>
  <c r="H31" i="2"/>
  <c r="V25" i="2"/>
  <c r="O25" i="2"/>
  <c r="H25" i="2"/>
  <c r="V24" i="2"/>
  <c r="O24" i="2"/>
  <c r="H24" i="2"/>
  <c r="V18" i="2"/>
  <c r="O18" i="2"/>
  <c r="H18" i="2"/>
  <c r="V17" i="2"/>
  <c r="O17" i="2"/>
  <c r="H17" i="2"/>
  <c r="V11" i="2"/>
  <c r="O11" i="2"/>
  <c r="V10" i="2"/>
  <c r="O10" i="2"/>
  <c r="H10" i="2"/>
  <c r="V4" i="2"/>
  <c r="O4" i="2"/>
  <c r="H4" i="2"/>
  <c r="V3" i="2"/>
  <c r="O3" i="2"/>
  <c r="H3" i="2"/>
  <c r="AL39" i="1"/>
  <c r="AR48" i="1"/>
  <c r="AQ48" i="1"/>
  <c r="AP48" i="1"/>
  <c r="AO48" i="1"/>
  <c r="AN48" i="1"/>
  <c r="AM48" i="1"/>
  <c r="AK48" i="1"/>
  <c r="AJ48" i="1"/>
  <c r="AI48" i="1"/>
  <c r="AH48" i="1"/>
  <c r="AG48" i="1"/>
  <c r="AF48" i="1"/>
  <c r="AL48" i="1" s="1"/>
  <c r="AD48" i="1"/>
  <c r="AC48" i="1"/>
  <c r="AB48" i="1"/>
  <c r="AA48" i="1"/>
  <c r="Z48" i="1"/>
  <c r="Y48" i="1"/>
  <c r="AS47" i="1"/>
  <c r="AS46" i="1"/>
  <c r="AL46" i="1"/>
  <c r="AE46" i="1"/>
  <c r="AS45" i="1"/>
  <c r="AL45" i="1"/>
  <c r="AE45" i="1"/>
  <c r="AR41" i="1"/>
  <c r="AQ41" i="1"/>
  <c r="AP41" i="1"/>
  <c r="AO41" i="1"/>
  <c r="AN41" i="1"/>
  <c r="AM41" i="1"/>
  <c r="AK41" i="1"/>
  <c r="AJ41" i="1"/>
  <c r="AI41" i="1"/>
  <c r="AH41" i="1"/>
  <c r="AG41" i="1"/>
  <c r="AF41" i="1"/>
  <c r="AL41" i="1" s="1"/>
  <c r="AD41" i="1"/>
  <c r="AC41" i="1"/>
  <c r="AB41" i="1"/>
  <c r="AA41" i="1"/>
  <c r="Z41" i="1"/>
  <c r="Y41" i="1"/>
  <c r="AE41" i="1" s="1"/>
  <c r="AS40" i="1"/>
  <c r="AS39" i="1"/>
  <c r="AE39" i="1"/>
  <c r="AS38" i="1"/>
  <c r="AL38" i="1"/>
  <c r="AE38" i="1"/>
  <c r="AR34" i="1"/>
  <c r="AQ34" i="1"/>
  <c r="AP34" i="1"/>
  <c r="AO34" i="1"/>
  <c r="AN34" i="1"/>
  <c r="AM34" i="1"/>
  <c r="AS34" i="1" s="1"/>
  <c r="AK34" i="1"/>
  <c r="AJ34" i="1"/>
  <c r="AI34" i="1"/>
  <c r="AH34" i="1"/>
  <c r="AG34" i="1"/>
  <c r="AF34" i="1"/>
  <c r="AD34" i="1"/>
  <c r="AC34" i="1"/>
  <c r="AB34" i="1"/>
  <c r="AA34" i="1"/>
  <c r="Z34" i="1"/>
  <c r="Y34" i="1"/>
  <c r="AE34" i="1" s="1"/>
  <c r="AS33" i="1"/>
  <c r="AS32" i="1"/>
  <c r="AL32" i="1"/>
  <c r="AE32" i="1"/>
  <c r="AS31" i="1"/>
  <c r="AL31" i="1"/>
  <c r="AE31" i="1"/>
  <c r="AR27" i="1"/>
  <c r="AQ27" i="1"/>
  <c r="AP27" i="1"/>
  <c r="AO27" i="1"/>
  <c r="AN27" i="1"/>
  <c r="AM27" i="1"/>
  <c r="AK27" i="1"/>
  <c r="AJ27" i="1"/>
  <c r="AI27" i="1"/>
  <c r="AH27" i="1"/>
  <c r="AG27" i="1"/>
  <c r="AF27" i="1"/>
  <c r="AL27" i="1" s="1"/>
  <c r="AD27" i="1"/>
  <c r="AC27" i="1"/>
  <c r="AB27" i="1"/>
  <c r="AA27" i="1"/>
  <c r="Z27" i="1"/>
  <c r="Y27" i="1"/>
  <c r="AS26" i="1"/>
  <c r="AS25" i="1"/>
  <c r="AL25" i="1"/>
  <c r="AE25" i="1"/>
  <c r="AS24" i="1"/>
  <c r="AL24" i="1"/>
  <c r="AE24" i="1"/>
  <c r="AR20" i="1"/>
  <c r="AQ20" i="1"/>
  <c r="AP20" i="1"/>
  <c r="AO20" i="1"/>
  <c r="AN20" i="1"/>
  <c r="AM20" i="1"/>
  <c r="AK20" i="1"/>
  <c r="AJ20" i="1"/>
  <c r="AI20" i="1"/>
  <c r="AH20" i="1"/>
  <c r="AG20" i="1"/>
  <c r="AF20" i="1"/>
  <c r="AL20" i="1" s="1"/>
  <c r="AD20" i="1"/>
  <c r="AC20" i="1"/>
  <c r="AB20" i="1"/>
  <c r="AA20" i="1"/>
  <c r="Z20" i="1"/>
  <c r="Y20" i="1"/>
  <c r="AS19" i="1"/>
  <c r="AS18" i="1"/>
  <c r="AL18" i="1"/>
  <c r="AE18" i="1"/>
  <c r="AS17" i="1"/>
  <c r="AL17" i="1"/>
  <c r="AE17" i="1"/>
  <c r="AR13" i="1"/>
  <c r="AQ13" i="1"/>
  <c r="AP13" i="1"/>
  <c r="AO13" i="1"/>
  <c r="AN13" i="1"/>
  <c r="AM13" i="1"/>
  <c r="AK13" i="1"/>
  <c r="AJ13" i="1"/>
  <c r="AI13" i="1"/>
  <c r="AH13" i="1"/>
  <c r="AG13" i="1"/>
  <c r="AF13" i="1"/>
  <c r="AL13" i="1" s="1"/>
  <c r="AD13" i="1"/>
  <c r="AC13" i="1"/>
  <c r="AB13" i="1"/>
  <c r="AA13" i="1"/>
  <c r="Z13" i="1"/>
  <c r="Y13" i="1"/>
  <c r="AE13" i="1" s="1"/>
  <c r="AS12" i="1"/>
  <c r="AS11" i="1"/>
  <c r="AL11" i="1"/>
  <c r="AE11" i="1"/>
  <c r="AS10" i="1"/>
  <c r="AL10" i="1"/>
  <c r="AE10" i="1"/>
  <c r="AR6" i="1"/>
  <c r="AQ6" i="1"/>
  <c r="AP6" i="1"/>
  <c r="AO6" i="1"/>
  <c r="AN6" i="1"/>
  <c r="AM6" i="1"/>
  <c r="AS6" i="1" s="1"/>
  <c r="AK6" i="1"/>
  <c r="AJ6" i="1"/>
  <c r="AI6" i="1"/>
  <c r="AH6" i="1"/>
  <c r="AG6" i="1"/>
  <c r="AF6" i="1"/>
  <c r="AL6" i="1" s="1"/>
  <c r="AD6" i="1"/>
  <c r="AC6" i="1"/>
  <c r="AB6" i="1"/>
  <c r="AA6" i="1"/>
  <c r="Z6" i="1"/>
  <c r="Y6" i="1"/>
  <c r="AS5" i="1"/>
  <c r="AS4" i="1"/>
  <c r="AL4" i="1"/>
  <c r="AE4" i="1"/>
  <c r="AS3" i="1"/>
  <c r="AL3" i="1"/>
  <c r="AE3" i="1"/>
  <c r="U48" i="1"/>
  <c r="T48" i="1"/>
  <c r="S48" i="1"/>
  <c r="R48" i="1"/>
  <c r="Q48" i="1"/>
  <c r="P48" i="1"/>
  <c r="N48" i="1"/>
  <c r="M48" i="1"/>
  <c r="L48" i="1"/>
  <c r="K48" i="1"/>
  <c r="J48" i="1"/>
  <c r="I48" i="1"/>
  <c r="G48" i="1"/>
  <c r="F48" i="1"/>
  <c r="E48" i="1"/>
  <c r="D48" i="1"/>
  <c r="C48" i="1"/>
  <c r="B48" i="1"/>
  <c r="O46" i="1"/>
  <c r="H46" i="1"/>
  <c r="U41" i="1"/>
  <c r="T41" i="1"/>
  <c r="S41" i="1"/>
  <c r="R41" i="1"/>
  <c r="Q41" i="1"/>
  <c r="P41" i="1"/>
  <c r="N41" i="1"/>
  <c r="M41" i="1"/>
  <c r="L41" i="1"/>
  <c r="K41" i="1"/>
  <c r="J41" i="1"/>
  <c r="I41" i="1"/>
  <c r="G41" i="1"/>
  <c r="F41" i="1"/>
  <c r="E41" i="1"/>
  <c r="D41" i="1"/>
  <c r="C41" i="1"/>
  <c r="B41" i="1"/>
  <c r="H3" i="1"/>
  <c r="O3" i="1"/>
  <c r="V3" i="1"/>
  <c r="H4" i="1"/>
  <c r="O4" i="1"/>
  <c r="V4" i="1"/>
  <c r="V5" i="1"/>
  <c r="B6" i="1"/>
  <c r="C6" i="1"/>
  <c r="D6" i="1"/>
  <c r="E6" i="1"/>
  <c r="F6" i="1"/>
  <c r="G6" i="1"/>
  <c r="H6" i="1"/>
  <c r="I6" i="1"/>
  <c r="O6" i="1" s="1"/>
  <c r="J6" i="1"/>
  <c r="K6" i="1"/>
  <c r="L6" i="1"/>
  <c r="M6" i="1"/>
  <c r="N6" i="1"/>
  <c r="P6" i="1"/>
  <c r="Q6" i="1"/>
  <c r="R6" i="1"/>
  <c r="S6" i="1"/>
  <c r="T6" i="1"/>
  <c r="U6" i="1"/>
  <c r="V6" i="1"/>
  <c r="H10" i="1"/>
  <c r="O10" i="1"/>
  <c r="V10" i="1"/>
  <c r="H11" i="1"/>
  <c r="O11" i="1"/>
  <c r="V11" i="1"/>
  <c r="V12" i="1"/>
  <c r="B13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H17" i="1"/>
  <c r="O17" i="1"/>
  <c r="V17" i="1"/>
  <c r="H18" i="1"/>
  <c r="O18" i="1"/>
  <c r="V18" i="1"/>
  <c r="V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 s="1"/>
  <c r="P20" i="1"/>
  <c r="Q20" i="1"/>
  <c r="R20" i="1"/>
  <c r="S20" i="1"/>
  <c r="T20" i="1"/>
  <c r="U20" i="1"/>
  <c r="V20" i="1"/>
  <c r="H24" i="1"/>
  <c r="O24" i="1"/>
  <c r="V24" i="1"/>
  <c r="H25" i="1"/>
  <c r="O25" i="1"/>
  <c r="V25" i="1"/>
  <c r="V26" i="1"/>
  <c r="B27" i="1"/>
  <c r="C27" i="1"/>
  <c r="D27" i="1"/>
  <c r="E27" i="1"/>
  <c r="F27" i="1"/>
  <c r="G27" i="1"/>
  <c r="H27" i="1"/>
  <c r="I27" i="1"/>
  <c r="J27" i="1"/>
  <c r="K27" i="1"/>
  <c r="L27" i="1"/>
  <c r="M27" i="1"/>
  <c r="O27" i="1" s="1"/>
  <c r="N27" i="1"/>
  <c r="P27" i="1"/>
  <c r="Q27" i="1"/>
  <c r="R27" i="1"/>
  <c r="S27" i="1"/>
  <c r="T27" i="1"/>
  <c r="U27" i="1"/>
  <c r="V27" i="1" s="1"/>
  <c r="H31" i="1"/>
  <c r="O31" i="1"/>
  <c r="V31" i="1"/>
  <c r="H32" i="1"/>
  <c r="O32" i="1"/>
  <c r="V32" i="1"/>
  <c r="V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H38" i="1"/>
  <c r="O38" i="1"/>
  <c r="V38" i="1"/>
  <c r="H39" i="1"/>
  <c r="O39" i="1"/>
  <c r="V39" i="1"/>
  <c r="V40" i="1"/>
  <c r="H45" i="1"/>
  <c r="O45" i="1"/>
  <c r="V45" i="1"/>
  <c r="V46" i="1"/>
  <c r="V47" i="1"/>
  <c r="V48" i="1"/>
  <c r="AS41" i="2" l="1"/>
  <c r="AE41" i="2"/>
  <c r="AS34" i="2"/>
  <c r="AS20" i="2"/>
  <c r="AL20" i="2"/>
  <c r="AS13" i="2"/>
  <c r="AL13" i="2"/>
  <c r="AE13" i="2"/>
  <c r="AE6" i="2"/>
  <c r="V48" i="2"/>
  <c r="O48" i="2"/>
  <c r="H41" i="2"/>
  <c r="O41" i="2"/>
  <c r="H34" i="2"/>
  <c r="V34" i="2"/>
  <c r="O34" i="2"/>
  <c r="H27" i="2"/>
  <c r="O27" i="2"/>
  <c r="V20" i="2"/>
  <c r="H20" i="2"/>
  <c r="H13" i="2"/>
  <c r="V13" i="2"/>
  <c r="O6" i="2"/>
  <c r="H6" i="2"/>
  <c r="O20" i="2"/>
  <c r="AS48" i="1"/>
  <c r="AE48" i="1"/>
  <c r="AS41" i="1"/>
  <c r="AL34" i="1"/>
  <c r="AS27" i="1"/>
  <c r="AE27" i="1"/>
  <c r="AS20" i="1"/>
  <c r="AE20" i="1"/>
  <c r="AS13" i="1"/>
  <c r="AE6" i="1"/>
  <c r="H48" i="1"/>
  <c r="O48" i="1"/>
  <c r="O41" i="1"/>
  <c r="H41" i="1"/>
  <c r="V41" i="1"/>
</calcChain>
</file>

<file path=xl/sharedStrings.xml><?xml version="1.0" encoding="utf-8"?>
<sst xmlns="http://schemas.openxmlformats.org/spreadsheetml/2006/main" count="236" uniqueCount="36">
  <si>
    <t>Corrected R</t>
  </si>
  <si>
    <t>Blanks</t>
  </si>
  <si>
    <t>Media</t>
  </si>
  <si>
    <t>Res</t>
  </si>
  <si>
    <t>R3 Repeats</t>
  </si>
  <si>
    <t>R2 Repeats</t>
  </si>
  <si>
    <t>R1 Repeats</t>
  </si>
  <si>
    <t>400ppm - HUVEC</t>
  </si>
  <si>
    <t>120ppm - HUVEC</t>
  </si>
  <si>
    <t>100ppm - HUVEC</t>
  </si>
  <si>
    <t>40ppm - HUVEC</t>
  </si>
  <si>
    <t>20ppm - HUVEC</t>
  </si>
  <si>
    <t>10ppm - HUVEC</t>
  </si>
  <si>
    <t>Average</t>
  </si>
  <si>
    <t>0ppm - HUVEC</t>
  </si>
  <si>
    <t>0ppm - HA</t>
  </si>
  <si>
    <t>10ppm - HA</t>
  </si>
  <si>
    <t>20ppm - HA</t>
  </si>
  <si>
    <t>40ppm - HA</t>
  </si>
  <si>
    <t>100ppm - HA</t>
  </si>
  <si>
    <t>120ppm - HA</t>
  </si>
  <si>
    <t>400ppm - HA</t>
  </si>
  <si>
    <t>0ppm - U87</t>
  </si>
  <si>
    <t>10ppm - U87</t>
  </si>
  <si>
    <t>20ppm - U87</t>
  </si>
  <si>
    <t>40ppm - U87</t>
  </si>
  <si>
    <t>100ppm - U87</t>
  </si>
  <si>
    <t>120ppm - U87</t>
  </si>
  <si>
    <t>400ppm - U87</t>
  </si>
  <si>
    <t>0ppm - SH</t>
  </si>
  <si>
    <t>10ppm - SH</t>
  </si>
  <si>
    <t>20ppm - SH</t>
  </si>
  <si>
    <t>40ppm - SH</t>
  </si>
  <si>
    <t>100ppm - SH</t>
  </si>
  <si>
    <t>120ppm - SH</t>
  </si>
  <si>
    <t>400ppm - 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</si>
</sst>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28" xfId="0" applyFill="1" applyBorder="1"/>
    <xf numFmtId="0" fontId="0" fillId="2" borderId="13" xfId="0" applyFill="1" applyBorder="1"/>
    <xf numFmtId="0" fontId="0" fillId="2" borderId="29" xfId="0" applyFill="1" applyBorder="1"/>
    <xf numFmtId="0" fontId="0" fillId="2" borderId="27" xfId="0" applyFill="1" applyBorder="1"/>
    <xf numFmtId="0" fontId="0" fillId="2" borderId="38" xfId="0" applyFill="1" applyBorder="1"/>
    <xf numFmtId="0" fontId="0" fillId="2" borderId="26" xfId="0" applyFill="1" applyBorder="1"/>
    <xf numFmtId="0" fontId="0" fillId="2" borderId="23" xfId="0" applyFill="1" applyBorder="1"/>
    <xf numFmtId="0" fontId="0" fillId="2" borderId="25" xfId="0" applyFill="1" applyBorder="1"/>
    <xf numFmtId="0" fontId="0" fillId="2" borderId="21" xfId="0" applyFill="1" applyBorder="1"/>
    <xf numFmtId="0" fontId="0" fillId="2" borderId="24" xfId="0" applyFill="1" applyBorder="1"/>
    <xf numFmtId="0" fontId="0" fillId="2" borderId="22" xfId="0" applyFill="1" applyBorder="1"/>
    <xf numFmtId="0" fontId="0" fillId="2" borderId="37" xfId="0" applyFill="1" applyBorder="1"/>
    <xf numFmtId="0" fontId="0" fillId="2" borderId="20" xfId="0" applyFill="1" applyBorder="1"/>
    <xf numFmtId="0" fontId="0" fillId="2" borderId="18" xfId="0" applyFill="1" applyBorder="1"/>
    <xf numFmtId="0" fontId="0" fillId="2" borderId="34" xfId="0" applyFill="1" applyBorder="1"/>
    <xf numFmtId="0" fontId="0" fillId="2" borderId="36" xfId="0" applyFill="1" applyBorder="1"/>
    <xf numFmtId="0" fontId="0" fillId="2" borderId="16" xfId="0" applyFill="1" applyBorder="1"/>
    <xf numFmtId="0" fontId="0" fillId="2" borderId="35" xfId="0" applyFill="1" applyBorder="1"/>
    <xf numFmtId="0" fontId="0" fillId="2" borderId="33" xfId="0" applyFill="1" applyBorder="1"/>
    <xf numFmtId="0" fontId="0" fillId="2" borderId="32" xfId="0" applyFill="1" applyBorder="1"/>
    <xf numFmtId="0" fontId="0" fillId="2" borderId="14" xfId="0" applyFill="1" applyBorder="1"/>
    <xf numFmtId="0" fontId="0" fillId="2" borderId="12" xfId="0" applyFill="1" applyBorder="1"/>
    <xf numFmtId="0" fontId="0" fillId="2" borderId="11" xfId="0" applyFill="1" applyBorder="1"/>
    <xf numFmtId="0" fontId="0" fillId="2" borderId="9" xfId="0" applyFill="1" applyBorder="1"/>
    <xf numFmtId="0" fontId="0" fillId="2" borderId="10" xfId="0" applyFill="1" applyBorder="1"/>
    <xf numFmtId="0" fontId="1" fillId="2" borderId="8" xfId="0" applyFont="1" applyFill="1" applyBorder="1"/>
    <xf numFmtId="0" fontId="0" fillId="2" borderId="5" xfId="0" applyFill="1" applyBorder="1"/>
    <xf numFmtId="0" fontId="0" fillId="2" borderId="4" xfId="0" applyFill="1" applyBorder="1"/>
    <xf numFmtId="0" fontId="0" fillId="2" borderId="31" xfId="0" applyFill="1" applyBorder="1"/>
    <xf numFmtId="0" fontId="0" fillId="2" borderId="30" xfId="0" applyFill="1" applyBorder="1"/>
    <xf numFmtId="0" fontId="0" fillId="2" borderId="2" xfId="0" applyFill="1" applyBorder="1"/>
    <xf numFmtId="0" fontId="0" fillId="2" borderId="1" xfId="0" applyFill="1" applyBorder="1"/>
    <xf numFmtId="0" fontId="1" fillId="2" borderId="21" xfId="0" applyFont="1" applyFill="1" applyBorder="1" applyAlignment="1">
      <alignment horizontal="center"/>
    </xf>
    <xf numFmtId="0" fontId="0" fillId="2" borderId="15" xfId="0" applyFill="1" applyBorder="1"/>
    <xf numFmtId="0" fontId="0" fillId="2" borderId="19" xfId="0" applyFill="1" applyBorder="1"/>
    <xf numFmtId="0" fontId="0" fillId="2" borderId="17" xfId="0" applyFill="1" applyBorder="1"/>
    <xf numFmtId="0" fontId="0" fillId="2" borderId="7" xfId="0" applyFill="1" applyBorder="1"/>
    <xf numFmtId="0" fontId="0" fillId="2" borderId="6" xfId="0" applyFill="1" applyBorder="1"/>
    <xf numFmtId="0" fontId="0" fillId="2" borderId="41" xfId="0" applyFill="1" applyBorder="1"/>
    <xf numFmtId="0" fontId="0" fillId="2" borderId="40" xfId="0" applyFill="1" applyBorder="1"/>
    <xf numFmtId="0" fontId="0" fillId="2" borderId="44" xfId="0" applyFill="1" applyBorder="1"/>
    <xf numFmtId="0" fontId="0" fillId="2" borderId="45" xfId="0" applyFill="1" applyBorder="1"/>
    <xf numFmtId="0" fontId="1" fillId="2" borderId="42" xfId="0" applyFont="1" applyFill="1" applyBorder="1"/>
    <xf numFmtId="0" fontId="0" fillId="2" borderId="3" xfId="0" applyFill="1" applyBorder="1"/>
    <xf numFmtId="0" fontId="0" fillId="2" borderId="43" xfId="0" applyFill="1" applyBorder="1"/>
    <xf numFmtId="0" fontId="0" fillId="3" borderId="0" xfId="0" applyFill="1"/>
    <xf numFmtId="0" fontId="0" fillId="3" borderId="28" xfId="0" applyFill="1" applyBorder="1"/>
    <xf numFmtId="0" fontId="0" fillId="3" borderId="13" xfId="0" applyFill="1" applyBorder="1"/>
    <xf numFmtId="0" fontId="0" fillId="3" borderId="29" xfId="0" applyFill="1" applyBorder="1"/>
    <xf numFmtId="0" fontId="0" fillId="3" borderId="27" xfId="0" applyFill="1" applyBorder="1"/>
    <xf numFmtId="0" fontId="0" fillId="3" borderId="38" xfId="0" applyFill="1" applyBorder="1"/>
    <xf numFmtId="0" fontId="0" fillId="3" borderId="26" xfId="0" applyFill="1" applyBorder="1"/>
    <xf numFmtId="0" fontId="0" fillId="3" borderId="23" xfId="0" applyFill="1" applyBorder="1"/>
    <xf numFmtId="0" fontId="0" fillId="3" borderId="25" xfId="0" applyFill="1" applyBorder="1"/>
    <xf numFmtId="0" fontId="0" fillId="3" borderId="21" xfId="0" applyFill="1" applyBorder="1"/>
    <xf numFmtId="0" fontId="0" fillId="3" borderId="24" xfId="0" applyFill="1" applyBorder="1"/>
    <xf numFmtId="0" fontId="0" fillId="3" borderId="22" xfId="0" applyFill="1" applyBorder="1"/>
    <xf numFmtId="0" fontId="0" fillId="3" borderId="37" xfId="0" applyFill="1" applyBorder="1"/>
    <xf numFmtId="0" fontId="0" fillId="3" borderId="20" xfId="0" applyFill="1" applyBorder="1"/>
    <xf numFmtId="0" fontId="0" fillId="3" borderId="18" xfId="0" applyFill="1" applyBorder="1"/>
    <xf numFmtId="0" fontId="0" fillId="3" borderId="34" xfId="0" applyFill="1" applyBorder="1"/>
    <xf numFmtId="0" fontId="0" fillId="3" borderId="36" xfId="0" applyFill="1" applyBorder="1"/>
    <xf numFmtId="0" fontId="0" fillId="3" borderId="16" xfId="0" applyFill="1" applyBorder="1"/>
    <xf numFmtId="0" fontId="0" fillId="3" borderId="35" xfId="0" applyFill="1" applyBorder="1"/>
    <xf numFmtId="0" fontId="0" fillId="3" borderId="33" xfId="0" applyFill="1" applyBorder="1"/>
    <xf numFmtId="0" fontId="0" fillId="3" borderId="32" xfId="0" applyFill="1" applyBorder="1"/>
    <xf numFmtId="0" fontId="0" fillId="3" borderId="14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9" xfId="0" applyFill="1" applyBorder="1"/>
    <xf numFmtId="0" fontId="0" fillId="3" borderId="10" xfId="0" applyFill="1" applyBorder="1"/>
    <xf numFmtId="0" fontId="1" fillId="3" borderId="8" xfId="0" applyFont="1" applyFill="1" applyBorder="1"/>
    <xf numFmtId="0" fontId="0" fillId="3" borderId="5" xfId="0" applyFill="1" applyBorder="1"/>
    <xf numFmtId="0" fontId="0" fillId="3" borderId="4" xfId="0" applyFill="1" applyBorder="1"/>
    <xf numFmtId="0" fontId="0" fillId="3" borderId="31" xfId="0" applyFill="1" applyBorder="1"/>
    <xf numFmtId="0" fontId="0" fillId="3" borderId="30" xfId="0" applyFill="1" applyBorder="1"/>
    <xf numFmtId="0" fontId="0" fillId="3" borderId="2" xfId="0" applyFill="1" applyBorder="1"/>
    <xf numFmtId="0" fontId="0" fillId="3" borderId="1" xfId="0" applyFill="1" applyBorder="1"/>
    <xf numFmtId="0" fontId="1" fillId="3" borderId="21" xfId="0" applyFont="1" applyFill="1" applyBorder="1" applyAlignment="1">
      <alignment horizontal="center"/>
    </xf>
    <xf numFmtId="0" fontId="0" fillId="3" borderId="15" xfId="0" applyFill="1" applyBorder="1"/>
    <xf numFmtId="0" fontId="0" fillId="3" borderId="19" xfId="0" applyFill="1" applyBorder="1"/>
    <xf numFmtId="0" fontId="0" fillId="3" borderId="17" xfId="0" applyFill="1" applyBorder="1"/>
    <xf numFmtId="0" fontId="0" fillId="3" borderId="7" xfId="0" applyFill="1" applyBorder="1"/>
    <xf numFmtId="0" fontId="0" fillId="3" borderId="6" xfId="0" applyFill="1" applyBorder="1"/>
    <xf numFmtId="0" fontId="0" fillId="3" borderId="41" xfId="0" applyFill="1" applyBorder="1"/>
    <xf numFmtId="0" fontId="0" fillId="3" borderId="40" xfId="0" applyFill="1" applyBorder="1"/>
    <xf numFmtId="0" fontId="0" fillId="3" borderId="44" xfId="0" applyFill="1" applyBorder="1"/>
    <xf numFmtId="0" fontId="0" fillId="3" borderId="45" xfId="0" applyFill="1" applyBorder="1"/>
    <xf numFmtId="0" fontId="1" fillId="3" borderId="42" xfId="0" applyFont="1" applyFill="1" applyBorder="1"/>
    <xf numFmtId="0" fontId="0" fillId="3" borderId="3" xfId="0" applyFill="1" applyBorder="1"/>
    <xf numFmtId="0" fontId="0" fillId="3" borderId="43" xfId="0" applyFill="1" applyBorder="1"/>
    <xf numFmtId="0" fontId="0" fillId="3" borderId="46" xfId="0" applyFill="1" applyBorder="1"/>
    <xf numFmtId="0" fontId="0" fillId="3" borderId="47" xfId="0" applyFill="1" applyBorder="1"/>
    <xf numFmtId="0" fontId="0" fillId="3" borderId="48" xfId="0" applyFill="1" applyBorder="1"/>
    <xf numFmtId="0" fontId="0" fillId="3" borderId="49" xfId="0" applyFill="1" applyBorder="1"/>
    <xf numFmtId="0" fontId="0" fillId="3" borderId="50" xfId="0" applyFill="1" applyBorder="1"/>
    <xf numFmtId="0" fontId="0" fillId="4" borderId="0" xfId="0" applyFill="1"/>
    <xf numFmtId="0" fontId="0" fillId="4" borderId="1" xfId="0" applyFill="1" applyBorder="1"/>
    <xf numFmtId="0" fontId="0" fillId="5" borderId="0" xfId="0" applyFill="1"/>
    <xf numFmtId="0" fontId="0" fillId="5" borderId="28" xfId="0" applyFill="1" applyBorder="1"/>
    <xf numFmtId="0" fontId="0" fillId="5" borderId="13" xfId="0" applyFill="1" applyBorder="1"/>
    <xf numFmtId="0" fontId="0" fillId="5" borderId="29" xfId="0" applyFill="1" applyBorder="1"/>
    <xf numFmtId="0" fontId="0" fillId="5" borderId="27" xfId="0" applyFill="1" applyBorder="1"/>
    <xf numFmtId="0" fontId="0" fillId="5" borderId="38" xfId="0" applyFill="1" applyBorder="1"/>
    <xf numFmtId="0" fontId="0" fillId="5" borderId="26" xfId="0" applyFill="1" applyBorder="1"/>
    <xf numFmtId="0" fontId="0" fillId="5" borderId="23" xfId="0" applyFill="1" applyBorder="1"/>
    <xf numFmtId="0" fontId="0" fillId="5" borderId="22" xfId="0" applyFill="1" applyBorder="1"/>
    <xf numFmtId="0" fontId="0" fillId="5" borderId="41" xfId="0" applyFill="1" applyBorder="1"/>
    <xf numFmtId="0" fontId="0" fillId="5" borderId="24" xfId="0" applyFill="1" applyBorder="1"/>
    <xf numFmtId="0" fontId="0" fillId="5" borderId="25" xfId="0" applyFill="1" applyBorder="1"/>
    <xf numFmtId="0" fontId="0" fillId="5" borderId="21" xfId="0" applyFill="1" applyBorder="1"/>
    <xf numFmtId="0" fontId="0" fillId="5" borderId="37" xfId="0" applyFill="1" applyBorder="1"/>
    <xf numFmtId="0" fontId="0" fillId="5" borderId="20" xfId="0" applyFill="1" applyBorder="1"/>
    <xf numFmtId="0" fontId="0" fillId="5" borderId="18" xfId="0" applyFill="1" applyBorder="1"/>
    <xf numFmtId="0" fontId="0" fillId="5" borderId="34" xfId="0" applyFill="1" applyBorder="1"/>
    <xf numFmtId="0" fontId="0" fillId="5" borderId="33" xfId="0" applyFill="1" applyBorder="1"/>
    <xf numFmtId="0" fontId="0" fillId="5" borderId="40" xfId="0" applyFill="1" applyBorder="1"/>
    <xf numFmtId="0" fontId="0" fillId="5" borderId="35" xfId="0" applyFill="1" applyBorder="1"/>
    <xf numFmtId="0" fontId="0" fillId="5" borderId="36" xfId="0" applyFill="1" applyBorder="1"/>
    <xf numFmtId="0" fontId="0" fillId="5" borderId="16" xfId="0" applyFill="1" applyBorder="1"/>
    <xf numFmtId="0" fontId="0" fillId="5" borderId="32" xfId="0" applyFill="1" applyBorder="1"/>
    <xf numFmtId="0" fontId="0" fillId="5" borderId="44" xfId="0" applyFill="1" applyBorder="1"/>
    <xf numFmtId="0" fontId="0" fillId="5" borderId="45" xfId="0" applyFill="1" applyBorder="1"/>
    <xf numFmtId="0" fontId="0" fillId="5" borderId="9" xfId="0" applyFill="1" applyBorder="1"/>
    <xf numFmtId="0" fontId="1" fillId="5" borderId="8" xfId="0" applyFont="1" applyFill="1" applyBorder="1"/>
    <xf numFmtId="0" fontId="0" fillId="5" borderId="7" xfId="0" applyFill="1" applyBorder="1"/>
    <xf numFmtId="0" fontId="0" fillId="5" borderId="4" xfId="0" applyFill="1" applyBorder="1"/>
    <xf numFmtId="0" fontId="0" fillId="5" borderId="6" xfId="0" applyFill="1" applyBorder="1"/>
    <xf numFmtId="0" fontId="0" fillId="5" borderId="8" xfId="0" applyFill="1" applyBorder="1"/>
    <xf numFmtId="0" fontId="0" fillId="5" borderId="5" xfId="0" applyFill="1" applyBorder="1"/>
    <xf numFmtId="0" fontId="0" fillId="5" borderId="3" xfId="0" applyFill="1" applyBorder="1"/>
    <xf numFmtId="0" fontId="0" fillId="5" borderId="2" xfId="0" applyFill="1" applyBorder="1"/>
    <xf numFmtId="0" fontId="0" fillId="5" borderId="1" xfId="0" applyFill="1" applyBorder="1"/>
    <xf numFmtId="0" fontId="1" fillId="5" borderId="21" xfId="0" applyFont="1" applyFill="1" applyBorder="1" applyAlignment="1">
      <alignment horizontal="center"/>
    </xf>
    <xf numFmtId="0" fontId="0" fillId="5" borderId="14" xfId="0" applyFill="1" applyBorder="1"/>
    <xf numFmtId="0" fontId="0" fillId="5" borderId="15" xfId="0" applyFill="1" applyBorder="1"/>
    <xf numFmtId="0" fontId="0" fillId="5" borderId="19" xfId="0" applyFill="1" applyBorder="1"/>
    <xf numFmtId="0" fontId="0" fillId="5" borderId="12" xfId="0" applyFill="1" applyBorder="1"/>
    <xf numFmtId="0" fontId="0" fillId="5" borderId="17" xfId="0" applyFill="1" applyBorder="1"/>
    <xf numFmtId="0" fontId="0" fillId="5" borderId="11" xfId="0" applyFill="1" applyBorder="1"/>
    <xf numFmtId="0" fontId="0" fillId="5" borderId="10" xfId="0" applyFill="1" applyBorder="1"/>
    <xf numFmtId="0" fontId="1" fillId="5" borderId="42" xfId="0" applyFont="1" applyFill="1" applyBorder="1"/>
    <xf numFmtId="0" fontId="0" fillId="5" borderId="43" xfId="0" applyFill="1" applyBorder="1"/>
    <xf numFmtId="0" fontId="0" fillId="6" borderId="28" xfId="0" applyFill="1" applyBorder="1"/>
    <xf numFmtId="0" fontId="0" fillId="6" borderId="13" xfId="0" applyFill="1" applyBorder="1"/>
    <xf numFmtId="0" fontId="0" fillId="6" borderId="29" xfId="0" applyFill="1" applyBorder="1"/>
    <xf numFmtId="0" fontId="0" fillId="6" borderId="27" xfId="0" applyFill="1" applyBorder="1"/>
    <xf numFmtId="0" fontId="0" fillId="6" borderId="38" xfId="0" applyFill="1" applyBorder="1"/>
    <xf numFmtId="0" fontId="0" fillId="6" borderId="26" xfId="0" applyFill="1" applyBorder="1"/>
    <xf numFmtId="0" fontId="0" fillId="6" borderId="23" xfId="0" applyFill="1" applyBorder="1"/>
    <xf numFmtId="0" fontId="0" fillId="6" borderId="22" xfId="0" applyFill="1" applyBorder="1"/>
    <xf numFmtId="0" fontId="0" fillId="6" borderId="41" xfId="0" applyFill="1" applyBorder="1"/>
    <xf numFmtId="0" fontId="0" fillId="6" borderId="24" xfId="0" applyFill="1" applyBorder="1"/>
    <xf numFmtId="0" fontId="0" fillId="6" borderId="25" xfId="0" applyFill="1" applyBorder="1"/>
    <xf numFmtId="0" fontId="0" fillId="6" borderId="21" xfId="0" applyFill="1" applyBorder="1"/>
    <xf numFmtId="0" fontId="0" fillId="6" borderId="37" xfId="0" applyFill="1" applyBorder="1"/>
    <xf numFmtId="0" fontId="0" fillId="6" borderId="20" xfId="0" applyFill="1" applyBorder="1"/>
    <xf numFmtId="0" fontId="0" fillId="6" borderId="18" xfId="0" applyFill="1" applyBorder="1"/>
    <xf numFmtId="0" fontId="0" fillId="6" borderId="34" xfId="0" applyFill="1" applyBorder="1"/>
    <xf numFmtId="0" fontId="0" fillId="6" borderId="33" xfId="0" applyFill="1" applyBorder="1"/>
    <xf numFmtId="0" fontId="0" fillId="6" borderId="40" xfId="0" applyFill="1" applyBorder="1"/>
    <xf numFmtId="0" fontId="0" fillId="6" borderId="35" xfId="0" applyFill="1" applyBorder="1"/>
    <xf numFmtId="0" fontId="0" fillId="6" borderId="36" xfId="0" applyFill="1" applyBorder="1"/>
    <xf numFmtId="0" fontId="0" fillId="6" borderId="16" xfId="0" applyFill="1" applyBorder="1"/>
    <xf numFmtId="0" fontId="0" fillId="6" borderId="32" xfId="0" applyFill="1" applyBorder="1"/>
    <xf numFmtId="0" fontId="0" fillId="6" borderId="44" xfId="0" applyFill="1" applyBorder="1"/>
    <xf numFmtId="0" fontId="0" fillId="6" borderId="45" xfId="0" applyFill="1" applyBorder="1"/>
    <xf numFmtId="0" fontId="0" fillId="6" borderId="9" xfId="0" applyFill="1" applyBorder="1"/>
    <xf numFmtId="0" fontId="1" fillId="6" borderId="8" xfId="0" applyFont="1" applyFill="1" applyBorder="1"/>
    <xf numFmtId="0" fontId="0" fillId="6" borderId="7" xfId="0" applyFill="1" applyBorder="1"/>
    <xf numFmtId="0" fontId="0" fillId="6" borderId="4" xfId="0" applyFill="1" applyBorder="1"/>
    <xf numFmtId="0" fontId="0" fillId="6" borderId="6" xfId="0" applyFill="1" applyBorder="1"/>
    <xf numFmtId="0" fontId="0" fillId="6" borderId="8" xfId="0" applyFill="1" applyBorder="1"/>
    <xf numFmtId="0" fontId="0" fillId="6" borderId="5" xfId="0" applyFill="1" applyBorder="1"/>
    <xf numFmtId="0" fontId="0" fillId="6" borderId="3" xfId="0" applyFill="1" applyBorder="1"/>
    <xf numFmtId="0" fontId="0" fillId="6" borderId="2" xfId="0" applyFill="1" applyBorder="1"/>
    <xf numFmtId="0" fontId="0" fillId="6" borderId="0" xfId="0" applyFill="1"/>
    <xf numFmtId="0" fontId="0" fillId="6" borderId="1" xfId="0" applyFill="1" applyBorder="1"/>
    <xf numFmtId="0" fontId="1" fillId="6" borderId="21" xfId="0" applyFont="1" applyFill="1" applyBorder="1" applyAlignment="1">
      <alignment horizontal="center"/>
    </xf>
    <xf numFmtId="0" fontId="0" fillId="6" borderId="14" xfId="0" applyFill="1" applyBorder="1"/>
    <xf numFmtId="0" fontId="0" fillId="6" borderId="15" xfId="0" applyFill="1" applyBorder="1"/>
    <xf numFmtId="0" fontId="0" fillId="6" borderId="19" xfId="0" applyFill="1" applyBorder="1"/>
    <xf numFmtId="0" fontId="0" fillId="6" borderId="12" xfId="0" applyFill="1" applyBorder="1"/>
    <xf numFmtId="0" fontId="0" fillId="6" borderId="17" xfId="0" applyFill="1" applyBorder="1"/>
    <xf numFmtId="0" fontId="0" fillId="6" borderId="11" xfId="0" applyFill="1" applyBorder="1"/>
    <xf numFmtId="0" fontId="0" fillId="6" borderId="10" xfId="0" applyFill="1" applyBorder="1"/>
    <xf numFmtId="0" fontId="1" fillId="6" borderId="42" xfId="0" applyFont="1" applyFill="1" applyBorder="1"/>
    <xf numFmtId="0" fontId="0" fillId="6" borderId="43" xfId="0" applyFill="1" applyBorder="1"/>
    <xf numFmtId="0" fontId="0" fillId="7" borderId="23" xfId="0" applyFill="1" applyBorder="1"/>
    <xf numFmtId="0" fontId="0" fillId="3" borderId="21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1" fillId="3" borderId="3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1" fillId="2" borderId="25" xfId="0" applyFont="1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1" fillId="2" borderId="39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6" borderId="26" xfId="0" applyFont="1" applyFill="1" applyBorder="1" applyAlignment="1">
      <alignment horizontal="center"/>
    </xf>
    <xf numFmtId="0" fontId="1" fillId="6" borderId="23" xfId="0" applyFont="1" applyFill="1" applyBorder="1" applyAlignment="1">
      <alignment horizontal="center"/>
    </xf>
    <xf numFmtId="0" fontId="1" fillId="6" borderId="22" xfId="0" applyFont="1" applyFill="1" applyBorder="1" applyAlignment="1">
      <alignment horizontal="center"/>
    </xf>
    <xf numFmtId="0" fontId="0" fillId="5" borderId="21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1" fillId="6" borderId="39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5" borderId="39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6" borderId="24" xfId="0" applyFont="1" applyFill="1" applyBorder="1" applyAlignment="1">
      <alignment horizontal="center"/>
    </xf>
    <xf numFmtId="0" fontId="1" fillId="6" borderId="25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47025-4317-4E5F-8BC0-70C5B78A4D7F}">
  <dimension ref="A1:AT51"/>
  <sheetViews>
    <sheetView topLeftCell="A6" workbookViewId="0">
      <selection activeCell="W17" sqref="W17"/>
    </sheetView>
  </sheetViews>
  <sheetFormatPr defaultRowHeight="15" x14ac:dyDescent="0.25"/>
  <cols>
    <col min="1" max="1" width="21.140625" customWidth="1"/>
    <col min="8" max="8" width="9.140625" style="1"/>
    <col min="9" max="9" width="11" bestFit="1" customWidth="1"/>
    <col min="15" max="15" width="9.140625" style="1"/>
    <col min="16" max="16" width="11" bestFit="1" customWidth="1"/>
    <col min="22" max="22" width="9.140625" style="1"/>
    <col min="24" max="24" width="17.42578125" customWidth="1"/>
  </cols>
  <sheetData>
    <row r="1" spans="1:46" x14ac:dyDescent="0.25">
      <c r="A1" s="206" t="s">
        <v>14</v>
      </c>
      <c r="B1" s="204" t="s">
        <v>6</v>
      </c>
      <c r="C1" s="202"/>
      <c r="D1" s="202"/>
      <c r="E1" s="202"/>
      <c r="F1" s="202"/>
      <c r="G1" s="205"/>
      <c r="H1" s="208" t="s">
        <v>13</v>
      </c>
      <c r="I1" s="201" t="s">
        <v>5</v>
      </c>
      <c r="J1" s="202"/>
      <c r="K1" s="202"/>
      <c r="L1" s="202"/>
      <c r="M1" s="202"/>
      <c r="N1" s="205"/>
      <c r="O1" s="208" t="s">
        <v>13</v>
      </c>
      <c r="P1" s="201" t="s">
        <v>4</v>
      </c>
      <c r="Q1" s="202"/>
      <c r="R1" s="202"/>
      <c r="S1" s="202"/>
      <c r="T1" s="202"/>
      <c r="U1" s="203"/>
      <c r="V1" s="208" t="s">
        <v>13</v>
      </c>
      <c r="W1" s="2"/>
      <c r="X1" s="192" t="s">
        <v>15</v>
      </c>
      <c r="Y1" s="200" t="s">
        <v>6</v>
      </c>
      <c r="Z1" s="195"/>
      <c r="AA1" s="195"/>
      <c r="AB1" s="195"/>
      <c r="AC1" s="195"/>
      <c r="AD1" s="199"/>
      <c r="AE1" s="197" t="s">
        <v>13</v>
      </c>
      <c r="AF1" s="194" t="s">
        <v>5</v>
      </c>
      <c r="AG1" s="195"/>
      <c r="AH1" s="195"/>
      <c r="AI1" s="195"/>
      <c r="AJ1" s="195"/>
      <c r="AK1" s="199"/>
      <c r="AL1" s="197" t="s">
        <v>13</v>
      </c>
      <c r="AM1" s="194" t="s">
        <v>4</v>
      </c>
      <c r="AN1" s="195"/>
      <c r="AO1" s="195"/>
      <c r="AP1" s="195"/>
      <c r="AQ1" s="195"/>
      <c r="AR1" s="196"/>
      <c r="AS1" s="197" t="s">
        <v>13</v>
      </c>
      <c r="AT1" s="48"/>
    </row>
    <row r="2" spans="1:46" ht="15.75" thickBot="1" x14ac:dyDescent="0.3">
      <c r="A2" s="207"/>
      <c r="B2" s="3">
        <v>1</v>
      </c>
      <c r="C2" s="4">
        <v>2</v>
      </c>
      <c r="D2" s="4">
        <v>3</v>
      </c>
      <c r="E2" s="4">
        <v>4</v>
      </c>
      <c r="F2" s="4">
        <v>5</v>
      </c>
      <c r="G2" s="5">
        <v>6</v>
      </c>
      <c r="H2" s="209"/>
      <c r="I2" s="3">
        <v>1</v>
      </c>
      <c r="J2" s="4">
        <v>2</v>
      </c>
      <c r="K2" s="4">
        <v>3</v>
      </c>
      <c r="L2" s="4">
        <v>4</v>
      </c>
      <c r="M2" s="4">
        <v>5</v>
      </c>
      <c r="N2" s="5">
        <v>6</v>
      </c>
      <c r="O2" s="209"/>
      <c r="P2" s="3">
        <v>1</v>
      </c>
      <c r="Q2" s="4">
        <v>2</v>
      </c>
      <c r="R2" s="4">
        <v>3</v>
      </c>
      <c r="S2" s="4">
        <v>4</v>
      </c>
      <c r="T2" s="4">
        <v>5</v>
      </c>
      <c r="U2" s="6">
        <v>6</v>
      </c>
      <c r="V2" s="209"/>
      <c r="W2" s="2"/>
      <c r="X2" s="193"/>
      <c r="Y2" s="49">
        <v>1</v>
      </c>
      <c r="Z2" s="50">
        <v>2</v>
      </c>
      <c r="AA2" s="50">
        <v>3</v>
      </c>
      <c r="AB2" s="50">
        <v>4</v>
      </c>
      <c r="AC2" s="50">
        <v>5</v>
      </c>
      <c r="AD2" s="51">
        <v>6</v>
      </c>
      <c r="AE2" s="198"/>
      <c r="AF2" s="49">
        <v>1</v>
      </c>
      <c r="AG2" s="50">
        <v>2</v>
      </c>
      <c r="AH2" s="50">
        <v>3</v>
      </c>
      <c r="AI2" s="50">
        <v>4</v>
      </c>
      <c r="AJ2" s="50">
        <v>5</v>
      </c>
      <c r="AK2" s="51">
        <v>6</v>
      </c>
      <c r="AL2" s="198"/>
      <c r="AM2" s="49">
        <v>1</v>
      </c>
      <c r="AN2" s="50">
        <v>2</v>
      </c>
      <c r="AO2" s="50">
        <v>3</v>
      </c>
      <c r="AP2" s="50">
        <v>4</v>
      </c>
      <c r="AQ2" s="50">
        <v>5</v>
      </c>
      <c r="AR2" s="52">
        <v>6</v>
      </c>
      <c r="AS2" s="198"/>
      <c r="AT2" s="48"/>
    </row>
    <row r="3" spans="1:46" x14ac:dyDescent="0.25">
      <c r="A3" s="7" t="s">
        <v>3</v>
      </c>
      <c r="B3" s="8">
        <v>78040</v>
      </c>
      <c r="C3" s="9">
        <v>96611</v>
      </c>
      <c r="D3" s="9">
        <v>105506</v>
      </c>
      <c r="E3" s="9">
        <v>101892</v>
      </c>
      <c r="F3" s="9">
        <v>105851</v>
      </c>
      <c r="G3" s="10">
        <v>100242</v>
      </c>
      <c r="H3" s="11">
        <f>AVERAGE(B3:G3)</f>
        <v>98023.666666666672</v>
      </c>
      <c r="I3" s="12">
        <v>98394</v>
      </c>
      <c r="J3" s="9">
        <v>122348</v>
      </c>
      <c r="K3" s="9">
        <v>120105</v>
      </c>
      <c r="L3" s="9">
        <v>123303</v>
      </c>
      <c r="M3" s="9">
        <v>126751</v>
      </c>
      <c r="N3" s="10">
        <v>121811</v>
      </c>
      <c r="O3" s="11">
        <f>AVERAGE(I3:N3)</f>
        <v>118785.33333333333</v>
      </c>
      <c r="P3" s="12">
        <v>86641</v>
      </c>
      <c r="Q3" s="9">
        <v>110849</v>
      </c>
      <c r="R3" s="9">
        <v>116750</v>
      </c>
      <c r="S3" s="9">
        <v>115658</v>
      </c>
      <c r="T3" s="9">
        <v>114637</v>
      </c>
      <c r="U3" s="13">
        <v>111827</v>
      </c>
      <c r="V3" s="11">
        <f>AVERAGE(P3:U3)</f>
        <v>109393.66666666667</v>
      </c>
      <c r="W3" s="2"/>
      <c r="X3" s="53" t="s">
        <v>3</v>
      </c>
      <c r="Y3" s="54">
        <v>85047</v>
      </c>
      <c r="Z3" s="55">
        <v>79618</v>
      </c>
      <c r="AA3" s="55">
        <v>76004</v>
      </c>
      <c r="AB3" s="55">
        <v>73575</v>
      </c>
      <c r="AC3" s="55">
        <v>68482</v>
      </c>
      <c r="AD3" s="56">
        <v>53378</v>
      </c>
      <c r="AE3" s="57">
        <f>AVERAGE(Y3:AD3)</f>
        <v>72684</v>
      </c>
      <c r="AF3" s="58">
        <v>107558</v>
      </c>
      <c r="AG3" s="55">
        <v>95680</v>
      </c>
      <c r="AH3" s="55">
        <v>88277</v>
      </c>
      <c r="AI3" s="55">
        <v>82690</v>
      </c>
      <c r="AJ3" s="55">
        <v>80062</v>
      </c>
      <c r="AK3" s="56">
        <v>67712</v>
      </c>
      <c r="AL3" s="57">
        <f>AVERAGE(AF3:AK3)</f>
        <v>86996.5</v>
      </c>
      <c r="AM3" s="58">
        <v>71382</v>
      </c>
      <c r="AN3" s="55">
        <v>53053</v>
      </c>
      <c r="AO3" s="55">
        <v>57753</v>
      </c>
      <c r="AP3" s="55">
        <v>56389</v>
      </c>
      <c r="AQ3" s="55">
        <v>52918</v>
      </c>
      <c r="AR3" s="59">
        <v>53936</v>
      </c>
      <c r="AS3" s="57">
        <f>AVERAGE(AM3:AR3)</f>
        <v>57571.833333333336</v>
      </c>
      <c r="AT3" s="48"/>
    </row>
    <row r="4" spans="1:46" x14ac:dyDescent="0.25">
      <c r="A4" s="14" t="s">
        <v>2</v>
      </c>
      <c r="B4" s="15">
        <v>51</v>
      </c>
      <c r="C4" s="16">
        <v>58</v>
      </c>
      <c r="D4" s="17">
        <v>59</v>
      </c>
      <c r="E4" s="17">
        <v>37</v>
      </c>
      <c r="F4" s="17">
        <v>43</v>
      </c>
      <c r="G4" s="18">
        <v>46</v>
      </c>
      <c r="H4" s="19">
        <f>AVERAGE(B4:G4)</f>
        <v>49</v>
      </c>
      <c r="I4" s="20">
        <v>51</v>
      </c>
      <c r="J4" s="17">
        <v>35</v>
      </c>
      <c r="K4" s="17">
        <v>50</v>
      </c>
      <c r="L4" s="17">
        <v>50</v>
      </c>
      <c r="M4" s="17">
        <v>49</v>
      </c>
      <c r="N4" s="18">
        <v>50</v>
      </c>
      <c r="O4" s="19">
        <f>AVERAGE(I4:N4)</f>
        <v>47.5</v>
      </c>
      <c r="P4" s="20">
        <v>45</v>
      </c>
      <c r="Q4" s="17">
        <v>38</v>
      </c>
      <c r="R4" s="17">
        <v>47</v>
      </c>
      <c r="S4" s="17">
        <v>54</v>
      </c>
      <c r="T4" s="17">
        <v>53</v>
      </c>
      <c r="U4" s="21">
        <v>55</v>
      </c>
      <c r="V4" s="19">
        <f>AVERAGE(P4:U4)</f>
        <v>48.666666666666664</v>
      </c>
      <c r="W4" s="2"/>
      <c r="X4" s="60" t="s">
        <v>2</v>
      </c>
      <c r="Y4" s="61">
        <v>49</v>
      </c>
      <c r="Z4" s="62">
        <v>53</v>
      </c>
      <c r="AA4" s="63">
        <v>57</v>
      </c>
      <c r="AB4" s="63">
        <v>55</v>
      </c>
      <c r="AC4" s="63">
        <v>61</v>
      </c>
      <c r="AD4" s="64">
        <v>51</v>
      </c>
      <c r="AE4" s="65">
        <f>AVERAGE(Y4:AD4)</f>
        <v>54.333333333333336</v>
      </c>
      <c r="AF4" s="66">
        <v>51</v>
      </c>
      <c r="AG4" s="63">
        <v>44</v>
      </c>
      <c r="AH4" s="63">
        <v>46</v>
      </c>
      <c r="AI4" s="63">
        <v>4016</v>
      </c>
      <c r="AJ4" s="63">
        <v>7195</v>
      </c>
      <c r="AK4" s="64">
        <v>734</v>
      </c>
      <c r="AL4" s="65">
        <f>AVERAGE(AF4:AK4)</f>
        <v>2014.3333333333333</v>
      </c>
      <c r="AM4" s="66">
        <v>52</v>
      </c>
      <c r="AN4" s="63">
        <v>50</v>
      </c>
      <c r="AO4" s="63">
        <v>45</v>
      </c>
      <c r="AP4" s="63">
        <v>44</v>
      </c>
      <c r="AQ4" s="63">
        <v>59</v>
      </c>
      <c r="AR4" s="67">
        <v>49</v>
      </c>
      <c r="AS4" s="65">
        <f>AVERAGE(AM4:AR4)</f>
        <v>49.833333333333336</v>
      </c>
      <c r="AT4" s="48"/>
    </row>
    <row r="5" spans="1:46" ht="15.75" thickBot="1" x14ac:dyDescent="0.3">
      <c r="A5" s="22" t="s">
        <v>1</v>
      </c>
      <c r="B5" s="23">
        <v>36360</v>
      </c>
      <c r="C5" s="5">
        <v>37144</v>
      </c>
      <c r="D5" s="24"/>
      <c r="E5" s="25"/>
      <c r="F5" s="25"/>
      <c r="G5" s="25"/>
      <c r="H5" s="26"/>
      <c r="I5" s="25"/>
      <c r="J5" s="25"/>
      <c r="K5" s="25"/>
      <c r="L5" s="25"/>
      <c r="M5" s="25"/>
      <c r="N5" s="25"/>
      <c r="O5" s="26"/>
      <c r="P5" s="25"/>
      <c r="Q5" s="25"/>
      <c r="R5" s="25"/>
      <c r="S5" s="25"/>
      <c r="T5" s="25"/>
      <c r="U5" s="27"/>
      <c r="V5" s="26">
        <f>AVERAGE(B5:C5)</f>
        <v>36752</v>
      </c>
      <c r="W5" s="2"/>
      <c r="X5" s="68" t="s">
        <v>1</v>
      </c>
      <c r="Y5" s="69">
        <v>36360</v>
      </c>
      <c r="Z5" s="51">
        <v>37144</v>
      </c>
      <c r="AA5" s="70"/>
      <c r="AB5" s="71"/>
      <c r="AC5" s="71"/>
      <c r="AD5" s="71"/>
      <c r="AE5" s="72"/>
      <c r="AF5" s="71"/>
      <c r="AG5" s="71"/>
      <c r="AH5" s="71"/>
      <c r="AI5" s="71"/>
      <c r="AJ5" s="71"/>
      <c r="AK5" s="71"/>
      <c r="AL5" s="72"/>
      <c r="AM5" s="71"/>
      <c r="AN5" s="71"/>
      <c r="AO5" s="71"/>
      <c r="AP5" s="71"/>
      <c r="AQ5" s="71"/>
      <c r="AR5" s="73"/>
      <c r="AS5" s="72">
        <f>AVERAGE(Y5:Z5)</f>
        <v>36752</v>
      </c>
      <c r="AT5" s="48"/>
    </row>
    <row r="6" spans="1:46" ht="15.75" thickBot="1" x14ac:dyDescent="0.3">
      <c r="A6" s="28" t="s">
        <v>0</v>
      </c>
      <c r="B6" s="29">
        <f>B3-(36752+(AVERAGE(B4:G4)))</f>
        <v>41239</v>
      </c>
      <c r="C6" s="30">
        <f>C3-(36752+(AVERAGE(B4:G4)))</f>
        <v>59810</v>
      </c>
      <c r="D6" s="31">
        <f>D3-(36752+(AVERAGE(B4:G4)))</f>
        <v>68705</v>
      </c>
      <c r="E6" s="31">
        <f>E3-(36752+(AVERAGE(B4:G4)))</f>
        <v>65091</v>
      </c>
      <c r="F6" s="31">
        <f>F3-(36752+(AVERAGE(B4:G4)))</f>
        <v>69050</v>
      </c>
      <c r="G6" s="32">
        <f>G3-(36752+(AVERAGE(B4:G4)))</f>
        <v>63441</v>
      </c>
      <c r="H6" s="33">
        <f>AVERAGE(B6:G6)</f>
        <v>61222.666666666664</v>
      </c>
      <c r="I6" s="29">
        <f>I3-(36752+(AVERAGE(I4:N4)))</f>
        <v>61594.5</v>
      </c>
      <c r="J6" s="30">
        <f>J3-(36752+(AVERAGE(I4:N4)))</f>
        <v>85548.5</v>
      </c>
      <c r="K6" s="31">
        <f>K3-(36752+(AVERAGE(I4:N4)))</f>
        <v>83305.5</v>
      </c>
      <c r="L6" s="31">
        <f>L3-(36752+(AVERAGE(I4:N4)))</f>
        <v>86503.5</v>
      </c>
      <c r="M6" s="31">
        <f>M3-(36752+(AVERAGE(I4:N4)))</f>
        <v>89951.5</v>
      </c>
      <c r="N6" s="32">
        <f>N3-(36752+(AVERAGE(I4:N4)))</f>
        <v>85011.5</v>
      </c>
      <c r="O6" s="33">
        <f>AVERAGE(I6:N6)</f>
        <v>81985.833333333328</v>
      </c>
      <c r="P6" s="29">
        <f>P3-(36752+(AVERAGE(P4:U4)))</f>
        <v>49840.333333333336</v>
      </c>
      <c r="Q6" s="30">
        <f>Q3-(36752+(AVERAGE(P4:U4)))</f>
        <v>74048.333333333343</v>
      </c>
      <c r="R6" s="31">
        <f>R3-(36752+(AVERAGE(P4:U4)))</f>
        <v>79949.333333333343</v>
      </c>
      <c r="S6" s="31">
        <f>S3-(36752+(AVERAGE(P4:U4)))</f>
        <v>78857.333333333343</v>
      </c>
      <c r="T6" s="31">
        <f>T3-(36752+(AVERAGE(P4:U4)))</f>
        <v>77836.333333333343</v>
      </c>
      <c r="U6" s="32">
        <f>U3-(36752+(AVERAGE(P4:U4)))</f>
        <v>75026.333333333343</v>
      </c>
      <c r="V6" s="33">
        <f>AVERAGE(P6:U6)</f>
        <v>72593.000000000015</v>
      </c>
      <c r="W6" s="2"/>
      <c r="X6" s="74" t="s">
        <v>0</v>
      </c>
      <c r="Y6" s="75">
        <f>Y3-(36752+(AVERAGE(Y4:AD4)))</f>
        <v>48240.666666666664</v>
      </c>
      <c r="Z6" s="76">
        <f>Z3-(36752+(AVERAGE(Y4:AD4)))</f>
        <v>42811.666666666664</v>
      </c>
      <c r="AA6" s="77">
        <f>AA3-(36752+(AVERAGE(Y4:AD4)))</f>
        <v>39197.666666666664</v>
      </c>
      <c r="AB6" s="77">
        <f>AB3-(36752+(AVERAGE(Y4:AD4)))</f>
        <v>36768.666666666664</v>
      </c>
      <c r="AC6" s="77">
        <f>AC3-(36752+(AVERAGE(Y4:AD4)))</f>
        <v>31675.666666666664</v>
      </c>
      <c r="AD6" s="78">
        <f>AD3-(36752+(AVERAGE(Y4:AD4)))</f>
        <v>16571.666666666664</v>
      </c>
      <c r="AE6" s="79">
        <f>AVERAGE(Y6:AD6)</f>
        <v>35877.666666666664</v>
      </c>
      <c r="AF6" s="75">
        <f>AF3-(36752+(AVERAGE(AF4:AK4)))</f>
        <v>68791.666666666657</v>
      </c>
      <c r="AG6" s="76">
        <f>AG3-(36752+(AVERAGE(AF4:AK4)))</f>
        <v>56913.666666666664</v>
      </c>
      <c r="AH6" s="77">
        <f>AH3-(36752+(AVERAGE(AF4:AK4)))</f>
        <v>49510.666666666664</v>
      </c>
      <c r="AI6" s="77">
        <f>AI3-(36752+(AVERAGE(AF4:AK4)))</f>
        <v>43923.666666666664</v>
      </c>
      <c r="AJ6" s="77">
        <f>AJ3-(36752+(AVERAGE(AF4:AK4)))</f>
        <v>41295.666666666664</v>
      </c>
      <c r="AK6" s="78">
        <f>AK3-(36752+(AVERAGE(AF4:AK4)))</f>
        <v>28945.666666666664</v>
      </c>
      <c r="AL6" s="79">
        <f>AVERAGE(AF6:AK6)</f>
        <v>48230.166666666657</v>
      </c>
      <c r="AM6" s="75">
        <f>AM3-(36752+(AVERAGE(AM4:AR4)))</f>
        <v>34580.166666666664</v>
      </c>
      <c r="AN6" s="76">
        <f>AN3-(36752+(AVERAGE(AM4:AR4)))</f>
        <v>16251.166666666664</v>
      </c>
      <c r="AO6" s="77">
        <f>AO3-(36752+(AVERAGE(AM4:AR4)))</f>
        <v>20951.166666666664</v>
      </c>
      <c r="AP6" s="77">
        <f>AP3-(36752+(AVERAGE(AM4:AR4)))</f>
        <v>19587.166666666664</v>
      </c>
      <c r="AQ6" s="77">
        <f>AQ3-(36752+(AVERAGE(AM4:AR4)))</f>
        <v>16116.166666666664</v>
      </c>
      <c r="AR6" s="78">
        <f>AR3-(36752+(AVERAGE(AM4:AR4)))</f>
        <v>17134.166666666664</v>
      </c>
      <c r="AS6" s="79">
        <f>AVERAGE(AM6:AR6)</f>
        <v>20769.999999999996</v>
      </c>
      <c r="AT6" s="48"/>
    </row>
    <row r="7" spans="1:46" ht="15.75" thickBot="1" x14ac:dyDescent="0.3">
      <c r="A7" s="2"/>
      <c r="B7" s="2"/>
      <c r="C7" s="2"/>
      <c r="D7" s="2"/>
      <c r="E7" s="2"/>
      <c r="F7" s="2"/>
      <c r="G7" s="2"/>
      <c r="H7" s="34"/>
      <c r="I7" s="2"/>
      <c r="J7" s="2"/>
      <c r="K7" s="2"/>
      <c r="L7" s="2"/>
      <c r="M7" s="2"/>
      <c r="N7" s="2"/>
      <c r="O7" s="34"/>
      <c r="P7" s="2"/>
      <c r="Q7" s="2"/>
      <c r="R7" s="2"/>
      <c r="S7" s="2"/>
      <c r="T7" s="2"/>
      <c r="U7" s="2"/>
      <c r="V7" s="34"/>
      <c r="W7" s="2"/>
      <c r="X7" s="48"/>
      <c r="Y7" s="48"/>
      <c r="Z7" s="48"/>
      <c r="AA7" s="48"/>
      <c r="AB7" s="48"/>
      <c r="AC7" s="48"/>
      <c r="AD7" s="48"/>
      <c r="AE7" s="80"/>
      <c r="AF7" s="48"/>
      <c r="AG7" s="48"/>
      <c r="AH7" s="48"/>
      <c r="AI7" s="48"/>
      <c r="AJ7" s="48"/>
      <c r="AK7" s="48"/>
      <c r="AL7" s="80"/>
      <c r="AM7" s="48"/>
      <c r="AN7" s="48"/>
      <c r="AO7" s="48"/>
      <c r="AP7" s="48"/>
      <c r="AQ7" s="48"/>
      <c r="AR7" s="48"/>
      <c r="AS7" s="80"/>
      <c r="AT7" s="48"/>
    </row>
    <row r="8" spans="1:46" x14ac:dyDescent="0.25">
      <c r="A8" s="206" t="s">
        <v>12</v>
      </c>
      <c r="B8" s="201" t="s">
        <v>6</v>
      </c>
      <c r="C8" s="202"/>
      <c r="D8" s="202"/>
      <c r="E8" s="202"/>
      <c r="F8" s="202"/>
      <c r="G8" s="203"/>
      <c r="H8" s="35"/>
      <c r="I8" s="201" t="s">
        <v>5</v>
      </c>
      <c r="J8" s="202"/>
      <c r="K8" s="202"/>
      <c r="L8" s="202"/>
      <c r="M8" s="202"/>
      <c r="N8" s="203"/>
      <c r="O8" s="35"/>
      <c r="P8" s="201" t="s">
        <v>4</v>
      </c>
      <c r="Q8" s="202"/>
      <c r="R8" s="202"/>
      <c r="S8" s="202"/>
      <c r="T8" s="202"/>
      <c r="U8" s="203"/>
      <c r="V8" s="35"/>
      <c r="W8" s="2"/>
      <c r="X8" s="192" t="s">
        <v>16</v>
      </c>
      <c r="Y8" s="194" t="s">
        <v>6</v>
      </c>
      <c r="Z8" s="195"/>
      <c r="AA8" s="195"/>
      <c r="AB8" s="195"/>
      <c r="AC8" s="195"/>
      <c r="AD8" s="196"/>
      <c r="AE8" s="81"/>
      <c r="AF8" s="194" t="s">
        <v>5</v>
      </c>
      <c r="AG8" s="195"/>
      <c r="AH8" s="195"/>
      <c r="AI8" s="195"/>
      <c r="AJ8" s="195"/>
      <c r="AK8" s="196"/>
      <c r="AL8" s="81"/>
      <c r="AM8" s="194" t="s">
        <v>4</v>
      </c>
      <c r="AN8" s="195"/>
      <c r="AO8" s="195"/>
      <c r="AP8" s="195"/>
      <c r="AQ8" s="195"/>
      <c r="AR8" s="196"/>
      <c r="AS8" s="81"/>
      <c r="AT8" s="48"/>
    </row>
    <row r="9" spans="1:46" ht="15.75" thickBot="1" x14ac:dyDescent="0.3">
      <c r="A9" s="207"/>
      <c r="B9" s="23">
        <v>1</v>
      </c>
      <c r="C9" s="4">
        <v>2</v>
      </c>
      <c r="D9" s="4">
        <v>3</v>
      </c>
      <c r="E9" s="4">
        <v>4</v>
      </c>
      <c r="F9" s="4">
        <v>5</v>
      </c>
      <c r="G9" s="5">
        <v>6</v>
      </c>
      <c r="H9" s="36"/>
      <c r="I9" s="3">
        <v>1</v>
      </c>
      <c r="J9" s="4">
        <v>2</v>
      </c>
      <c r="K9" s="4">
        <v>3</v>
      </c>
      <c r="L9" s="4">
        <v>4</v>
      </c>
      <c r="M9" s="4">
        <v>5</v>
      </c>
      <c r="N9" s="5">
        <v>6</v>
      </c>
      <c r="O9" s="36"/>
      <c r="P9" s="3">
        <v>1</v>
      </c>
      <c r="Q9" s="4">
        <v>2</v>
      </c>
      <c r="R9" s="4">
        <v>3</v>
      </c>
      <c r="S9" s="4">
        <v>4</v>
      </c>
      <c r="T9" s="4">
        <v>5</v>
      </c>
      <c r="U9" s="6">
        <v>6</v>
      </c>
      <c r="V9" s="36"/>
      <c r="W9" s="2"/>
      <c r="X9" s="193"/>
      <c r="Y9" s="69">
        <v>1</v>
      </c>
      <c r="Z9" s="50">
        <v>2</v>
      </c>
      <c r="AA9" s="50">
        <v>3</v>
      </c>
      <c r="AB9" s="50">
        <v>4</v>
      </c>
      <c r="AC9" s="50">
        <v>5</v>
      </c>
      <c r="AD9" s="51">
        <v>6</v>
      </c>
      <c r="AE9" s="82"/>
      <c r="AF9" s="49">
        <v>1</v>
      </c>
      <c r="AG9" s="50">
        <v>2</v>
      </c>
      <c r="AH9" s="50">
        <v>3</v>
      </c>
      <c r="AI9" s="50">
        <v>4</v>
      </c>
      <c r="AJ9" s="50">
        <v>5</v>
      </c>
      <c r="AK9" s="51">
        <v>6</v>
      </c>
      <c r="AL9" s="82"/>
      <c r="AM9" s="49">
        <v>1</v>
      </c>
      <c r="AN9" s="50">
        <v>2</v>
      </c>
      <c r="AO9" s="50">
        <v>3</v>
      </c>
      <c r="AP9" s="50">
        <v>4</v>
      </c>
      <c r="AQ9" s="50">
        <v>5</v>
      </c>
      <c r="AR9" s="52">
        <v>6</v>
      </c>
      <c r="AS9" s="82"/>
      <c r="AT9" s="48"/>
    </row>
    <row r="10" spans="1:46" x14ac:dyDescent="0.25">
      <c r="A10" s="11" t="s">
        <v>3</v>
      </c>
      <c r="B10" s="8">
        <v>65398</v>
      </c>
      <c r="C10" s="9">
        <v>78497</v>
      </c>
      <c r="D10" s="9">
        <v>81075</v>
      </c>
      <c r="E10" s="9">
        <v>81123</v>
      </c>
      <c r="F10" s="9">
        <v>81689</v>
      </c>
      <c r="G10" s="10">
        <v>78686</v>
      </c>
      <c r="H10" s="11">
        <f>AVERAGE(B10:G10)</f>
        <v>77744.666666666672</v>
      </c>
      <c r="I10" s="12">
        <v>80187</v>
      </c>
      <c r="J10" s="9">
        <v>101686</v>
      </c>
      <c r="K10" s="9">
        <v>99045</v>
      </c>
      <c r="L10" s="9">
        <v>101110</v>
      </c>
      <c r="M10" s="9">
        <v>102770</v>
      </c>
      <c r="N10" s="10">
        <v>101020</v>
      </c>
      <c r="O10" s="11">
        <f>AVERAGE(I10:N10)</f>
        <v>97636.333333333328</v>
      </c>
      <c r="P10" s="12">
        <v>56838</v>
      </c>
      <c r="Q10" s="9">
        <v>93943</v>
      </c>
      <c r="R10" s="9">
        <v>92160</v>
      </c>
      <c r="S10" s="9">
        <v>93158</v>
      </c>
      <c r="T10" s="9">
        <v>88118</v>
      </c>
      <c r="U10" s="13">
        <v>88007</v>
      </c>
      <c r="V10" s="11">
        <f>AVERAGE(P10:U10)</f>
        <v>85370.666666666672</v>
      </c>
      <c r="W10" s="2"/>
      <c r="X10" s="57" t="s">
        <v>3</v>
      </c>
      <c r="Y10" s="54">
        <v>67371</v>
      </c>
      <c r="Z10" s="55">
        <v>66640</v>
      </c>
      <c r="AA10" s="55">
        <v>66947</v>
      </c>
      <c r="AB10" s="55">
        <v>65784</v>
      </c>
      <c r="AC10" s="55">
        <v>68209</v>
      </c>
      <c r="AD10" s="56">
        <v>45664</v>
      </c>
      <c r="AE10" s="57">
        <f>AVERAGE(Y10:AD10)</f>
        <v>63435.833333333336</v>
      </c>
      <c r="AF10" s="58">
        <v>87291</v>
      </c>
      <c r="AG10" s="55">
        <v>68219</v>
      </c>
      <c r="AH10" s="55">
        <v>72410</v>
      </c>
      <c r="AI10" s="55">
        <v>75592</v>
      </c>
      <c r="AJ10" s="55">
        <v>89797</v>
      </c>
      <c r="AK10" s="56">
        <v>60281</v>
      </c>
      <c r="AL10" s="57">
        <f>AVERAGE(AF10:AK10)</f>
        <v>75598.333333333328</v>
      </c>
      <c r="AM10" s="58">
        <v>56217</v>
      </c>
      <c r="AN10" s="55">
        <v>54453</v>
      </c>
      <c r="AO10" s="55">
        <v>53038</v>
      </c>
      <c r="AP10" s="55">
        <v>45832</v>
      </c>
      <c r="AQ10" s="55">
        <v>45987</v>
      </c>
      <c r="AR10" s="59">
        <v>43939</v>
      </c>
      <c r="AS10" s="57">
        <f>AVERAGE(AM10:AR10)</f>
        <v>49911</v>
      </c>
      <c r="AT10" s="48"/>
    </row>
    <row r="11" spans="1:46" x14ac:dyDescent="0.25">
      <c r="A11" s="26" t="s">
        <v>2</v>
      </c>
      <c r="B11" s="15">
        <v>56</v>
      </c>
      <c r="C11" s="16">
        <v>48</v>
      </c>
      <c r="D11" s="16">
        <v>55</v>
      </c>
      <c r="E11" s="16">
        <v>51</v>
      </c>
      <c r="F11" s="16">
        <v>46</v>
      </c>
      <c r="G11" s="24">
        <v>48</v>
      </c>
      <c r="H11" s="19">
        <f>AVERAGE(B11:G11)</f>
        <v>50.666666666666664</v>
      </c>
      <c r="I11" s="37">
        <v>44</v>
      </c>
      <c r="J11" s="16">
        <v>55</v>
      </c>
      <c r="K11" s="16">
        <v>49</v>
      </c>
      <c r="L11" s="16">
        <v>44</v>
      </c>
      <c r="M11" s="16">
        <v>48</v>
      </c>
      <c r="N11" s="24">
        <v>51</v>
      </c>
      <c r="O11" s="19">
        <f>AVERAGE(I11:N11)</f>
        <v>48.5</v>
      </c>
      <c r="P11" s="37">
        <v>55</v>
      </c>
      <c r="Q11" s="16">
        <v>43</v>
      </c>
      <c r="R11" s="16">
        <v>39</v>
      </c>
      <c r="S11" s="16">
        <v>42</v>
      </c>
      <c r="T11" s="16">
        <v>56</v>
      </c>
      <c r="U11" s="38">
        <v>56</v>
      </c>
      <c r="V11" s="19">
        <f>AVERAGE(P11:U11)</f>
        <v>48.5</v>
      </c>
      <c r="W11" s="2"/>
      <c r="X11" s="72" t="s">
        <v>2</v>
      </c>
      <c r="Y11" s="61">
        <v>66</v>
      </c>
      <c r="Z11" s="62">
        <v>63</v>
      </c>
      <c r="AA11" s="62">
        <v>60</v>
      </c>
      <c r="AB11" s="62">
        <v>57</v>
      </c>
      <c r="AC11" s="62">
        <v>62</v>
      </c>
      <c r="AD11" s="70">
        <v>59</v>
      </c>
      <c r="AE11" s="65">
        <f>AVERAGE(Y11:AD11)</f>
        <v>61.166666666666664</v>
      </c>
      <c r="AF11" s="83">
        <v>62</v>
      </c>
      <c r="AG11" s="62">
        <v>50</v>
      </c>
      <c r="AH11" s="62">
        <v>52</v>
      </c>
      <c r="AI11" s="62">
        <v>65</v>
      </c>
      <c r="AJ11" s="62">
        <v>75</v>
      </c>
      <c r="AK11" s="70">
        <v>61</v>
      </c>
      <c r="AL11" s="65">
        <f>AVERAGE(AF11:AK11)</f>
        <v>60.833333333333336</v>
      </c>
      <c r="AM11" s="83">
        <v>62</v>
      </c>
      <c r="AN11" s="62">
        <v>58</v>
      </c>
      <c r="AO11" s="62">
        <v>51</v>
      </c>
      <c r="AP11" s="62">
        <v>63</v>
      </c>
      <c r="AQ11" s="62">
        <v>59</v>
      </c>
      <c r="AR11" s="84">
        <v>61</v>
      </c>
      <c r="AS11" s="65">
        <f>AVERAGE(AM11:AR11)</f>
        <v>59</v>
      </c>
      <c r="AT11" s="48"/>
    </row>
    <row r="12" spans="1:46" ht="15.75" thickBot="1" x14ac:dyDescent="0.3">
      <c r="A12" s="36" t="s">
        <v>1</v>
      </c>
      <c r="B12" s="23">
        <v>37679</v>
      </c>
      <c r="C12" s="4">
        <v>37062</v>
      </c>
      <c r="D12" s="24"/>
      <c r="E12" s="25"/>
      <c r="F12" s="25"/>
      <c r="G12" s="25"/>
      <c r="H12" s="26"/>
      <c r="I12" s="25"/>
      <c r="J12" s="25"/>
      <c r="K12" s="25"/>
      <c r="L12" s="25"/>
      <c r="M12" s="25"/>
      <c r="N12" s="25"/>
      <c r="O12" s="26"/>
      <c r="P12" s="25"/>
      <c r="Q12" s="25"/>
      <c r="R12" s="25"/>
      <c r="S12" s="25"/>
      <c r="T12" s="25"/>
      <c r="U12" s="27"/>
      <c r="V12" s="26">
        <f>AVERAGE(B12:C12)</f>
        <v>37370.5</v>
      </c>
      <c r="W12" s="2"/>
      <c r="X12" s="82" t="s">
        <v>1</v>
      </c>
      <c r="Y12" s="69">
        <v>37679</v>
      </c>
      <c r="Z12" s="50">
        <v>37062</v>
      </c>
      <c r="AA12" s="70"/>
      <c r="AB12" s="71"/>
      <c r="AC12" s="71"/>
      <c r="AD12" s="71"/>
      <c r="AE12" s="72"/>
      <c r="AF12" s="71"/>
      <c r="AG12" s="71"/>
      <c r="AH12" s="71"/>
      <c r="AI12" s="71"/>
      <c r="AJ12" s="71"/>
      <c r="AK12" s="71"/>
      <c r="AL12" s="72"/>
      <c r="AM12" s="71"/>
      <c r="AN12" s="71"/>
      <c r="AO12" s="71"/>
      <c r="AP12" s="71"/>
      <c r="AQ12" s="71"/>
      <c r="AR12" s="73"/>
      <c r="AS12" s="72">
        <f>AVERAGE(Y12:Z12)</f>
        <v>37370.5</v>
      </c>
      <c r="AT12" s="48"/>
    </row>
    <row r="13" spans="1:46" ht="15.75" thickBot="1" x14ac:dyDescent="0.3">
      <c r="A13" s="28" t="s">
        <v>0</v>
      </c>
      <c r="B13" s="39">
        <f>B10-(37370+(AVERAGE(B11:G11)))</f>
        <v>27977.333333333336</v>
      </c>
      <c r="C13" s="30">
        <f>C10-(37370+(AVERAGE(B11:G11)))</f>
        <v>41076.333333333336</v>
      </c>
      <c r="D13" s="30">
        <f>D10-(37370+(AVERAGE(B11:G11)))</f>
        <v>43654.333333333336</v>
      </c>
      <c r="E13" s="30">
        <f>E10-(37370+(AVERAGE(B11:G11)))</f>
        <v>43702.333333333336</v>
      </c>
      <c r="F13" s="30">
        <f>F10-(37370+(AVERAGE(B11:G11)))</f>
        <v>44268.333333333336</v>
      </c>
      <c r="G13" s="40">
        <f>G10-(37370+(AVERAGE(B11:G11)))</f>
        <v>41265.333333333336</v>
      </c>
      <c r="H13" s="33">
        <f>AVERAGE(B13:G13)</f>
        <v>40324.000000000007</v>
      </c>
      <c r="I13" s="39">
        <f>I10-(37370+(AVERAGE(I11:N11)))</f>
        <v>42768.5</v>
      </c>
      <c r="J13" s="30">
        <f>J10-(37370+(AVERAGE(I11:N11)))</f>
        <v>64267.5</v>
      </c>
      <c r="K13" s="30">
        <f>K10-(37370+(AVERAGE(I11:N11)))</f>
        <v>61626.5</v>
      </c>
      <c r="L13" s="30">
        <f>L10-(37370+(AVERAGE(I11:N11)))</f>
        <v>63691.5</v>
      </c>
      <c r="M13" s="30">
        <f>M10-(37370+(AVERAGE(I11:N11)))</f>
        <v>65351.5</v>
      </c>
      <c r="N13" s="40">
        <f>N10-(37370+(AVERAGE(I11:N11)))</f>
        <v>63601.5</v>
      </c>
      <c r="O13" s="33">
        <f>AVERAGE(I13:N13)</f>
        <v>60217.833333333336</v>
      </c>
      <c r="P13" s="39">
        <f>P10-(37370+(AVERAGE(P11:U11)))</f>
        <v>19419.5</v>
      </c>
      <c r="Q13" s="30">
        <f>Q10-(37370+(AVERAGE(P11:U11)))</f>
        <v>56524.5</v>
      </c>
      <c r="R13" s="30">
        <f>R10-(37370+(AVERAGE(P11:U11)))</f>
        <v>54741.5</v>
      </c>
      <c r="S13" s="30">
        <f>S10-(37370+(AVERAGE(P11:U11)))</f>
        <v>55739.5</v>
      </c>
      <c r="T13" s="30">
        <f>T10-(37370+(AVERAGE(P11:U11)))</f>
        <v>50699.5</v>
      </c>
      <c r="U13" s="40">
        <f>U10-(37370+(AVERAGE(P11:U11)))</f>
        <v>50588.5</v>
      </c>
      <c r="V13" s="33">
        <f>AVERAGE(P13:U13)</f>
        <v>47952.166666666664</v>
      </c>
      <c r="W13" s="2"/>
      <c r="X13" s="74" t="s">
        <v>0</v>
      </c>
      <c r="Y13" s="85">
        <f>Y10-(37370+(AVERAGE(Y11:AD11)))</f>
        <v>29939.833333333336</v>
      </c>
      <c r="Z13" s="76">
        <f>Z10-(37370+(AVERAGE(Y11:AD11)))</f>
        <v>29208.833333333336</v>
      </c>
      <c r="AA13" s="76">
        <f>AA10-(37370+(AVERAGE(Y11:AD11)))</f>
        <v>29515.833333333336</v>
      </c>
      <c r="AB13" s="76">
        <f>AB10-(37370+(AVERAGE(Y11:AD11)))</f>
        <v>28352.833333333336</v>
      </c>
      <c r="AC13" s="76">
        <f>AC10-(37370+(AVERAGE(Y11:AD11)))</f>
        <v>30777.833333333336</v>
      </c>
      <c r="AD13" s="86">
        <f>AD10-(37370+(AVERAGE(Y11:AD11)))</f>
        <v>8232.8333333333358</v>
      </c>
      <c r="AE13" s="79">
        <f>AVERAGE(Y13:AD13)</f>
        <v>26004.666666666672</v>
      </c>
      <c r="AF13" s="85">
        <f>AF10-(37370+(AVERAGE(AF11:AK11)))</f>
        <v>49860.166666666664</v>
      </c>
      <c r="AG13" s="76">
        <f>AG10-(37370+(AVERAGE(AF11:AK11)))</f>
        <v>30788.166666666664</v>
      </c>
      <c r="AH13" s="76">
        <f>AH10-(37370+(AVERAGE(AF11:AK11)))</f>
        <v>34979.166666666664</v>
      </c>
      <c r="AI13" s="76">
        <f>AI10-(37370+(AVERAGE(AF11:AK11)))</f>
        <v>38161.166666666664</v>
      </c>
      <c r="AJ13" s="76">
        <f>AJ10-(37370+(AVERAGE(AF11:AK11)))</f>
        <v>52366.166666666664</v>
      </c>
      <c r="AK13" s="86">
        <f>AK10-(37370+(AVERAGE(AF11:AK11)))</f>
        <v>22850.166666666664</v>
      </c>
      <c r="AL13" s="79">
        <f>AVERAGE(AF13:AK13)</f>
        <v>38167.499999999993</v>
      </c>
      <c r="AM13" s="85">
        <f>AM10-(37370+(AVERAGE(AM11:AR11)))</f>
        <v>18788</v>
      </c>
      <c r="AN13" s="76">
        <f>AN10-(37370+(AVERAGE(AM11:AR11)))</f>
        <v>17024</v>
      </c>
      <c r="AO13" s="76">
        <f>AO10-(37370+(AVERAGE(AM11:AR11)))</f>
        <v>15609</v>
      </c>
      <c r="AP13" s="76">
        <f>AP10-(37370+(AVERAGE(AM11:AR11)))</f>
        <v>8403</v>
      </c>
      <c r="AQ13" s="76">
        <f>AQ10-(37370+(AVERAGE(AM11:AR11)))</f>
        <v>8558</v>
      </c>
      <c r="AR13" s="86">
        <f>AR10-(37370+(AVERAGE(AM11:AR11)))</f>
        <v>6510</v>
      </c>
      <c r="AS13" s="79">
        <f>AVERAGE(AM13:AR13)</f>
        <v>12482</v>
      </c>
      <c r="AT13" s="48"/>
    </row>
    <row r="14" spans="1:46" ht="15.75" thickBot="1" x14ac:dyDescent="0.3">
      <c r="A14" s="2"/>
      <c r="B14" s="2"/>
      <c r="C14" s="2"/>
      <c r="D14" s="2"/>
      <c r="E14" s="2"/>
      <c r="F14" s="2"/>
      <c r="G14" s="2"/>
      <c r="H14" s="34"/>
      <c r="I14" s="2"/>
      <c r="J14" s="2"/>
      <c r="K14" s="2"/>
      <c r="L14" s="2"/>
      <c r="M14" s="2"/>
      <c r="N14" s="2"/>
      <c r="O14" s="34"/>
      <c r="P14" s="2"/>
      <c r="Q14" s="2"/>
      <c r="R14" s="2"/>
      <c r="S14" s="2"/>
      <c r="T14" s="2"/>
      <c r="U14" s="2"/>
      <c r="V14" s="34"/>
      <c r="W14" s="2"/>
      <c r="X14" s="48"/>
      <c r="Y14" s="48"/>
      <c r="Z14" s="48"/>
      <c r="AA14" s="48"/>
      <c r="AB14" s="48"/>
      <c r="AC14" s="48"/>
      <c r="AD14" s="48"/>
      <c r="AE14" s="80"/>
      <c r="AF14" s="48"/>
      <c r="AG14" s="48"/>
      <c r="AH14" s="48"/>
      <c r="AI14" s="48"/>
      <c r="AJ14" s="48"/>
      <c r="AK14" s="48"/>
      <c r="AL14" s="80"/>
      <c r="AM14" s="48"/>
      <c r="AN14" s="48"/>
      <c r="AO14" s="48"/>
      <c r="AP14" s="48"/>
      <c r="AQ14" s="48"/>
      <c r="AR14" s="48"/>
      <c r="AS14" s="80"/>
      <c r="AT14" s="48"/>
    </row>
    <row r="15" spans="1:46" x14ac:dyDescent="0.25">
      <c r="A15" s="206" t="s">
        <v>11</v>
      </c>
      <c r="B15" s="201" t="s">
        <v>6</v>
      </c>
      <c r="C15" s="202"/>
      <c r="D15" s="202"/>
      <c r="E15" s="202"/>
      <c r="F15" s="202"/>
      <c r="G15" s="203"/>
      <c r="H15" s="35"/>
      <c r="I15" s="201" t="s">
        <v>5</v>
      </c>
      <c r="J15" s="202"/>
      <c r="K15" s="202"/>
      <c r="L15" s="202"/>
      <c r="M15" s="202"/>
      <c r="N15" s="203"/>
      <c r="O15" s="35"/>
      <c r="P15" s="201" t="s">
        <v>4</v>
      </c>
      <c r="Q15" s="202"/>
      <c r="R15" s="202"/>
      <c r="S15" s="202"/>
      <c r="T15" s="202"/>
      <c r="U15" s="203"/>
      <c r="V15" s="35"/>
      <c r="W15" s="2"/>
      <c r="X15" s="192" t="s">
        <v>17</v>
      </c>
      <c r="Y15" s="194" t="s">
        <v>6</v>
      </c>
      <c r="Z15" s="195"/>
      <c r="AA15" s="195"/>
      <c r="AB15" s="195"/>
      <c r="AC15" s="195"/>
      <c r="AD15" s="196"/>
      <c r="AE15" s="81"/>
      <c r="AF15" s="194" t="s">
        <v>5</v>
      </c>
      <c r="AG15" s="195"/>
      <c r="AH15" s="195"/>
      <c r="AI15" s="195"/>
      <c r="AJ15" s="195"/>
      <c r="AK15" s="196"/>
      <c r="AL15" s="81"/>
      <c r="AM15" s="194" t="s">
        <v>4</v>
      </c>
      <c r="AN15" s="195"/>
      <c r="AO15" s="195"/>
      <c r="AP15" s="195"/>
      <c r="AQ15" s="195"/>
      <c r="AR15" s="196"/>
      <c r="AS15" s="81"/>
      <c r="AT15" s="48"/>
    </row>
    <row r="16" spans="1:46" ht="15.75" thickBot="1" x14ac:dyDescent="0.3">
      <c r="A16" s="207"/>
      <c r="B16" s="23">
        <v>1</v>
      </c>
      <c r="C16" s="4">
        <v>2</v>
      </c>
      <c r="D16" s="4">
        <v>3</v>
      </c>
      <c r="E16" s="4">
        <v>4</v>
      </c>
      <c r="F16" s="4">
        <v>5</v>
      </c>
      <c r="G16" s="5">
        <v>6</v>
      </c>
      <c r="H16" s="36"/>
      <c r="I16" s="3">
        <v>1</v>
      </c>
      <c r="J16" s="4">
        <v>2</v>
      </c>
      <c r="K16" s="4">
        <v>3</v>
      </c>
      <c r="L16" s="4">
        <v>4</v>
      </c>
      <c r="M16" s="4">
        <v>5</v>
      </c>
      <c r="N16" s="5">
        <v>6</v>
      </c>
      <c r="O16" s="36"/>
      <c r="P16" s="3">
        <v>1</v>
      </c>
      <c r="Q16" s="4">
        <v>2</v>
      </c>
      <c r="R16" s="4">
        <v>3</v>
      </c>
      <c r="S16" s="4">
        <v>4</v>
      </c>
      <c r="T16" s="4">
        <v>5</v>
      </c>
      <c r="U16" s="6">
        <v>6</v>
      </c>
      <c r="V16" s="36"/>
      <c r="W16" s="2"/>
      <c r="X16" s="193"/>
      <c r="Y16" s="69">
        <v>1</v>
      </c>
      <c r="Z16" s="50">
        <v>2</v>
      </c>
      <c r="AA16" s="50">
        <v>3</v>
      </c>
      <c r="AB16" s="50">
        <v>4</v>
      </c>
      <c r="AC16" s="50">
        <v>5</v>
      </c>
      <c r="AD16" s="51">
        <v>6</v>
      </c>
      <c r="AE16" s="82"/>
      <c r="AF16" s="49">
        <v>1</v>
      </c>
      <c r="AG16" s="50">
        <v>2</v>
      </c>
      <c r="AH16" s="50">
        <v>3</v>
      </c>
      <c r="AI16" s="50">
        <v>4</v>
      </c>
      <c r="AJ16" s="50">
        <v>5</v>
      </c>
      <c r="AK16" s="51">
        <v>6</v>
      </c>
      <c r="AL16" s="82"/>
      <c r="AM16" s="49">
        <v>1</v>
      </c>
      <c r="AN16" s="50">
        <v>2</v>
      </c>
      <c r="AO16" s="50">
        <v>3</v>
      </c>
      <c r="AP16" s="50">
        <v>4</v>
      </c>
      <c r="AQ16" s="50">
        <v>5</v>
      </c>
      <c r="AR16" s="52">
        <v>6</v>
      </c>
      <c r="AS16" s="82"/>
      <c r="AT16" s="48"/>
    </row>
    <row r="17" spans="1:46" x14ac:dyDescent="0.25">
      <c r="A17" s="11" t="s">
        <v>3</v>
      </c>
      <c r="B17" s="8">
        <v>48601</v>
      </c>
      <c r="C17" s="9">
        <v>71659</v>
      </c>
      <c r="D17" s="9">
        <v>71166</v>
      </c>
      <c r="E17" s="9">
        <v>73669</v>
      </c>
      <c r="F17" s="9">
        <v>71264</v>
      </c>
      <c r="G17" s="10">
        <v>63913</v>
      </c>
      <c r="H17" s="11">
        <f>AVERAGE(B17:G17)</f>
        <v>66712</v>
      </c>
      <c r="I17" s="12">
        <v>58562</v>
      </c>
      <c r="J17" s="9">
        <v>85469</v>
      </c>
      <c r="K17" s="9">
        <v>89743</v>
      </c>
      <c r="L17" s="9">
        <v>86327</v>
      </c>
      <c r="M17" s="9">
        <v>91567</v>
      </c>
      <c r="N17" s="10">
        <v>87238</v>
      </c>
      <c r="O17" s="11">
        <f>AVERAGE(I17:N17)</f>
        <v>83151</v>
      </c>
      <c r="P17" s="12">
        <v>68691</v>
      </c>
      <c r="Q17" s="9">
        <v>84813</v>
      </c>
      <c r="R17" s="9">
        <v>86774</v>
      </c>
      <c r="S17" s="191">
        <v>139716</v>
      </c>
      <c r="T17" s="9">
        <v>82134</v>
      </c>
      <c r="U17" s="13">
        <v>76401</v>
      </c>
      <c r="V17" s="11">
        <f>AVERAGE(P17:U17)</f>
        <v>89754.833333333328</v>
      </c>
      <c r="W17" s="2"/>
      <c r="X17" s="57" t="s">
        <v>3</v>
      </c>
      <c r="Y17" s="54">
        <v>61564</v>
      </c>
      <c r="Z17" s="55">
        <v>57636</v>
      </c>
      <c r="AA17" s="55">
        <v>61307</v>
      </c>
      <c r="AB17" s="55">
        <v>54761</v>
      </c>
      <c r="AC17" s="55">
        <v>45554</v>
      </c>
      <c r="AD17" s="59">
        <v>42566</v>
      </c>
      <c r="AE17" s="57">
        <f>AVERAGE(Y17:AD17)</f>
        <v>53898</v>
      </c>
      <c r="AF17" s="54">
        <v>88762</v>
      </c>
      <c r="AG17" s="55">
        <v>83865</v>
      </c>
      <c r="AH17" s="55">
        <v>86367</v>
      </c>
      <c r="AI17" s="55">
        <v>72286</v>
      </c>
      <c r="AJ17" s="55">
        <v>55206</v>
      </c>
      <c r="AK17" s="59">
        <v>51705</v>
      </c>
      <c r="AL17" s="57">
        <f>AVERAGE(AF17:AK17)</f>
        <v>73031.833333333328</v>
      </c>
      <c r="AM17" s="54">
        <v>46447</v>
      </c>
      <c r="AN17" s="55">
        <v>42718</v>
      </c>
      <c r="AO17" s="55">
        <v>45356</v>
      </c>
      <c r="AP17" s="55">
        <v>42344</v>
      </c>
      <c r="AQ17" s="55">
        <v>43628</v>
      </c>
      <c r="AR17" s="59">
        <v>41942</v>
      </c>
      <c r="AS17" s="57">
        <f>AVERAGE(AM17:AR17)</f>
        <v>43739.166666666664</v>
      </c>
      <c r="AT17" s="48"/>
    </row>
    <row r="18" spans="1:46" x14ac:dyDescent="0.25">
      <c r="A18" s="26" t="s">
        <v>2</v>
      </c>
      <c r="B18" s="15">
        <v>52</v>
      </c>
      <c r="C18" s="16">
        <v>42</v>
      </c>
      <c r="D18" s="16">
        <v>48</v>
      </c>
      <c r="E18" s="16">
        <v>52</v>
      </c>
      <c r="F18" s="16">
        <v>55</v>
      </c>
      <c r="G18" s="24">
        <v>40</v>
      </c>
      <c r="H18" s="19">
        <f>AVERAGE(B18:G18)</f>
        <v>48.166666666666664</v>
      </c>
      <c r="I18" s="37">
        <v>45</v>
      </c>
      <c r="J18" s="16">
        <v>41</v>
      </c>
      <c r="K18" s="16">
        <v>50</v>
      </c>
      <c r="L18" s="16">
        <v>56</v>
      </c>
      <c r="M18" s="16">
        <v>56</v>
      </c>
      <c r="N18" s="24">
        <v>50</v>
      </c>
      <c r="O18" s="19">
        <f>AVERAGE(I18:N18)</f>
        <v>49.666666666666664</v>
      </c>
      <c r="P18" s="37">
        <v>48</v>
      </c>
      <c r="Q18" s="16">
        <v>49</v>
      </c>
      <c r="R18" s="16">
        <v>53</v>
      </c>
      <c r="S18" s="16">
        <v>53</v>
      </c>
      <c r="T18" s="16">
        <v>61</v>
      </c>
      <c r="U18" s="38">
        <v>59</v>
      </c>
      <c r="V18" s="19">
        <f>AVERAGE(P18:U18)</f>
        <v>53.833333333333336</v>
      </c>
      <c r="W18" s="2"/>
      <c r="X18" s="72" t="s">
        <v>2</v>
      </c>
      <c r="Y18" s="94">
        <v>56</v>
      </c>
      <c r="Z18" s="95">
        <v>58</v>
      </c>
      <c r="AA18" s="95">
        <v>53</v>
      </c>
      <c r="AB18" s="95">
        <v>73</v>
      </c>
      <c r="AC18" s="95">
        <v>62</v>
      </c>
      <c r="AD18" s="96">
        <v>71</v>
      </c>
      <c r="AE18" s="65">
        <f>AVERAGE(Y18:AD18)</f>
        <v>62.166666666666664</v>
      </c>
      <c r="AF18" s="97">
        <v>51</v>
      </c>
      <c r="AG18" s="95">
        <v>68</v>
      </c>
      <c r="AH18" s="95">
        <v>60</v>
      </c>
      <c r="AI18" s="95">
        <v>55</v>
      </c>
      <c r="AJ18" s="95">
        <v>59</v>
      </c>
      <c r="AK18" s="96">
        <v>69</v>
      </c>
      <c r="AL18" s="65">
        <f>AVERAGE(AF18:AK18)</f>
        <v>60.333333333333336</v>
      </c>
      <c r="AM18" s="97">
        <v>64</v>
      </c>
      <c r="AN18" s="95">
        <v>67</v>
      </c>
      <c r="AO18" s="95">
        <v>68</v>
      </c>
      <c r="AP18" s="95">
        <v>63</v>
      </c>
      <c r="AQ18" s="95">
        <v>62</v>
      </c>
      <c r="AR18" s="98">
        <v>75</v>
      </c>
      <c r="AS18" s="65">
        <f>AVERAGE(AM18:AR18)</f>
        <v>66.5</v>
      </c>
      <c r="AT18" s="48"/>
    </row>
    <row r="19" spans="1:46" ht="15.75" thickBot="1" x14ac:dyDescent="0.3">
      <c r="A19" s="36" t="s">
        <v>1</v>
      </c>
      <c r="B19" s="23">
        <v>37716</v>
      </c>
      <c r="C19" s="4">
        <v>35354</v>
      </c>
      <c r="D19" s="24"/>
      <c r="E19" s="25"/>
      <c r="F19" s="25"/>
      <c r="G19" s="25"/>
      <c r="H19" s="26"/>
      <c r="I19" s="25"/>
      <c r="J19" s="25"/>
      <c r="K19" s="25"/>
      <c r="L19" s="25"/>
      <c r="M19" s="25"/>
      <c r="N19" s="25"/>
      <c r="O19" s="26"/>
      <c r="P19" s="25"/>
      <c r="Q19" s="25"/>
      <c r="R19" s="25"/>
      <c r="S19" s="25"/>
      <c r="T19" s="25"/>
      <c r="U19" s="27"/>
      <c r="V19" s="26">
        <f>AVERAGE(B19:C19)</f>
        <v>36535</v>
      </c>
      <c r="W19" s="2"/>
      <c r="X19" s="82" t="s">
        <v>1</v>
      </c>
      <c r="Y19" s="69">
        <v>37716</v>
      </c>
      <c r="Z19" s="50">
        <v>35354</v>
      </c>
      <c r="AA19" s="70"/>
      <c r="AB19" s="71"/>
      <c r="AC19" s="71"/>
      <c r="AD19" s="71"/>
      <c r="AE19" s="72"/>
      <c r="AF19" s="71"/>
      <c r="AG19" s="71"/>
      <c r="AH19" s="71"/>
      <c r="AI19" s="71"/>
      <c r="AJ19" s="71"/>
      <c r="AK19" s="71"/>
      <c r="AL19" s="72"/>
      <c r="AM19" s="71"/>
      <c r="AN19" s="71"/>
      <c r="AO19" s="71"/>
      <c r="AP19" s="71"/>
      <c r="AQ19" s="71"/>
      <c r="AR19" s="73"/>
      <c r="AS19" s="72">
        <f>AVERAGE(Y19:Z19)</f>
        <v>36535</v>
      </c>
      <c r="AT19" s="48"/>
    </row>
    <row r="20" spans="1:46" ht="15.75" thickBot="1" x14ac:dyDescent="0.3">
      <c r="A20" s="28" t="s">
        <v>0</v>
      </c>
      <c r="B20" s="39">
        <f>B17-(36353+(AVERAGE(B18:G18)))</f>
        <v>12199.833333333336</v>
      </c>
      <c r="C20" s="30">
        <f>C17-(36353+(AVERAGE(B18:G18)))</f>
        <v>35257.833333333336</v>
      </c>
      <c r="D20" s="30">
        <f>D17-(36353+(AVERAGE(B18:G18)))</f>
        <v>34764.833333333336</v>
      </c>
      <c r="E20" s="30">
        <f>E17-(36353+(AVERAGE(B18:G18)))</f>
        <v>37267.833333333336</v>
      </c>
      <c r="F20" s="30">
        <f>F17-(36353+(AVERAGE(B18:G18)))</f>
        <v>34862.833333333336</v>
      </c>
      <c r="G20" s="40">
        <f>G17-(36353+(AVERAGE(B18:G18)))</f>
        <v>27511.833333333336</v>
      </c>
      <c r="H20" s="33">
        <f>AVERAGE(B20:G20)</f>
        <v>30310.833333333339</v>
      </c>
      <c r="I20" s="39">
        <f>I17-(36353+(AVERAGE(I18:N18)))</f>
        <v>22159.333333333336</v>
      </c>
      <c r="J20" s="30">
        <f>J17-(36353+(AVERAGE(I18:N18)))</f>
        <v>49066.333333333336</v>
      </c>
      <c r="K20" s="30">
        <f>K17-(36353+(AVERAGE(I18:N18)))</f>
        <v>53340.333333333336</v>
      </c>
      <c r="L20" s="30">
        <f>L17-(36353+(AVERAGE(I18:N18)))</f>
        <v>49924.333333333336</v>
      </c>
      <c r="M20" s="30">
        <f>M17-(36353+(AVERAGE(I18:N18)))</f>
        <v>55164.333333333336</v>
      </c>
      <c r="N20" s="40">
        <f>N17-(36353+(AVERAGE(I18:N18)))</f>
        <v>50835.333333333336</v>
      </c>
      <c r="O20" s="33">
        <f>AVERAGE(I20:N20)</f>
        <v>46748.333333333336</v>
      </c>
      <c r="P20" s="39">
        <f>P17-(36353+(AVERAGE(P18:U18)))</f>
        <v>32284.166666666664</v>
      </c>
      <c r="Q20" s="30">
        <f>Q17-(36353+(AVERAGE(P18:U18)))</f>
        <v>48406.166666666664</v>
      </c>
      <c r="R20" s="30">
        <f>R17-(36353+(AVERAGE(P18:U18)))</f>
        <v>50367.166666666664</v>
      </c>
      <c r="S20" s="30">
        <f>S17-(36353+(AVERAGE(P18:U18)))</f>
        <v>103309.16666666666</v>
      </c>
      <c r="T20" s="30">
        <f>T17-(36353+(AVERAGE(P18:U18)))</f>
        <v>45727.166666666664</v>
      </c>
      <c r="U20" s="40">
        <f>U17-(36353+(AVERAGE(P18:U18)))</f>
        <v>39994.166666666664</v>
      </c>
      <c r="V20" s="33">
        <f>AVERAGE(P20:U20)</f>
        <v>53348</v>
      </c>
      <c r="W20" s="2"/>
      <c r="X20" s="74" t="s">
        <v>0</v>
      </c>
      <c r="Y20" s="85">
        <f>Y17-(36353+(AVERAGE(Y18:AD18)))</f>
        <v>25148.833333333336</v>
      </c>
      <c r="Z20" s="76">
        <f>Z17-(36353+(AVERAGE(Y18:AD18)))</f>
        <v>21220.833333333336</v>
      </c>
      <c r="AA20" s="76">
        <f>AA17-(36353+(AVERAGE(Y18:AD18)))</f>
        <v>24891.833333333336</v>
      </c>
      <c r="AB20" s="76">
        <f>AB17-(36353+(AVERAGE(Y18:AD18)))</f>
        <v>18345.833333333336</v>
      </c>
      <c r="AC20" s="76">
        <f>AC17-(36353+(AVERAGE(Y18:AD18)))</f>
        <v>9138.8333333333358</v>
      </c>
      <c r="AD20" s="86">
        <f>AD17-(36353+(AVERAGE(Y18:AD18)))</f>
        <v>6150.8333333333358</v>
      </c>
      <c r="AE20" s="79">
        <f>AVERAGE(Y20:AD20)</f>
        <v>17482.833333333339</v>
      </c>
      <c r="AF20" s="85">
        <f>AF17-(36353+(AVERAGE(AF18:AK18)))</f>
        <v>52348.666666666664</v>
      </c>
      <c r="AG20" s="76">
        <f>AG17-(36353+(AVERAGE(AF18:AK18)))</f>
        <v>47451.666666666664</v>
      </c>
      <c r="AH20" s="76">
        <f>AH17-(36353+(AVERAGE(AF18:AK18)))</f>
        <v>49953.666666666664</v>
      </c>
      <c r="AI20" s="76">
        <f>AI17-(36353+(AVERAGE(AF18:AK18)))</f>
        <v>35872.666666666664</v>
      </c>
      <c r="AJ20" s="76">
        <f>AJ17-(36353+(AVERAGE(AF18:AK18)))</f>
        <v>18792.666666666664</v>
      </c>
      <c r="AK20" s="86">
        <f>AK17-(36353+(AVERAGE(AF18:AK18)))</f>
        <v>15291.666666666664</v>
      </c>
      <c r="AL20" s="79">
        <f>AVERAGE(AF20:AK20)</f>
        <v>36618.499999999993</v>
      </c>
      <c r="AM20" s="85">
        <f>AM17-(36353+(AVERAGE(AM18:AR18)))</f>
        <v>10027.5</v>
      </c>
      <c r="AN20" s="76">
        <f>AN17-(36353+(AVERAGE(AM18:AR18)))</f>
        <v>6298.5</v>
      </c>
      <c r="AO20" s="76">
        <f>AO17-(36353+(AVERAGE(AM18:AR18)))</f>
        <v>8936.5</v>
      </c>
      <c r="AP20" s="76">
        <f>AP17-(36353+(AVERAGE(AM18:AR18)))</f>
        <v>5924.5</v>
      </c>
      <c r="AQ20" s="76">
        <f>AQ17-(36353+(AVERAGE(AM18:AR18)))</f>
        <v>7208.5</v>
      </c>
      <c r="AR20" s="86">
        <f>AR17-(36353+(AVERAGE(AM18:AR18)))</f>
        <v>5522.5</v>
      </c>
      <c r="AS20" s="79">
        <f>AVERAGE(AM20:AR20)</f>
        <v>7319.666666666667</v>
      </c>
      <c r="AT20" s="48"/>
    </row>
    <row r="21" spans="1:46" ht="15.75" thickBot="1" x14ac:dyDescent="0.3">
      <c r="A21" s="2"/>
      <c r="B21" s="2"/>
      <c r="C21" s="2"/>
      <c r="D21" s="2"/>
      <c r="E21" s="2"/>
      <c r="F21" s="2"/>
      <c r="G21" s="2"/>
      <c r="H21" s="34"/>
      <c r="I21" s="2"/>
      <c r="J21" s="2"/>
      <c r="K21" s="2"/>
      <c r="L21" s="2"/>
      <c r="M21" s="2"/>
      <c r="N21" s="2"/>
      <c r="O21" s="34"/>
      <c r="P21" s="2"/>
      <c r="Q21" s="2"/>
      <c r="R21" s="2"/>
      <c r="S21" s="2"/>
      <c r="T21" s="2"/>
      <c r="U21" s="2"/>
      <c r="V21" s="34"/>
      <c r="W21" s="2"/>
      <c r="X21" s="48"/>
      <c r="Y21" s="48"/>
      <c r="Z21" s="48"/>
      <c r="AA21" s="48"/>
      <c r="AB21" s="48"/>
      <c r="AC21" s="48"/>
      <c r="AD21" s="48"/>
      <c r="AE21" s="80"/>
      <c r="AF21" s="48"/>
      <c r="AG21" s="48"/>
      <c r="AH21" s="48"/>
      <c r="AI21" s="48"/>
      <c r="AJ21" s="48"/>
      <c r="AK21" s="48"/>
      <c r="AL21" s="80"/>
      <c r="AM21" s="48"/>
      <c r="AN21" s="48"/>
      <c r="AO21" s="48"/>
      <c r="AP21" s="48"/>
      <c r="AQ21" s="48"/>
      <c r="AR21" s="48"/>
      <c r="AS21" s="80"/>
      <c r="AT21" s="48"/>
    </row>
    <row r="22" spans="1:46" x14ac:dyDescent="0.25">
      <c r="A22" s="206" t="s">
        <v>10</v>
      </c>
      <c r="B22" s="201" t="s">
        <v>6</v>
      </c>
      <c r="C22" s="202"/>
      <c r="D22" s="202"/>
      <c r="E22" s="202"/>
      <c r="F22" s="202"/>
      <c r="G22" s="203"/>
      <c r="H22" s="35"/>
      <c r="I22" s="201" t="s">
        <v>5</v>
      </c>
      <c r="J22" s="202"/>
      <c r="K22" s="202"/>
      <c r="L22" s="202"/>
      <c r="M22" s="202"/>
      <c r="N22" s="203"/>
      <c r="O22" s="35"/>
      <c r="P22" s="201" t="s">
        <v>4</v>
      </c>
      <c r="Q22" s="202"/>
      <c r="R22" s="202"/>
      <c r="S22" s="202"/>
      <c r="T22" s="202"/>
      <c r="U22" s="203"/>
      <c r="V22" s="35"/>
      <c r="W22" s="2"/>
      <c r="X22" s="192" t="s">
        <v>18</v>
      </c>
      <c r="Y22" s="194" t="s">
        <v>6</v>
      </c>
      <c r="Z22" s="195"/>
      <c r="AA22" s="195"/>
      <c r="AB22" s="195"/>
      <c r="AC22" s="195"/>
      <c r="AD22" s="196"/>
      <c r="AE22" s="81"/>
      <c r="AF22" s="194" t="s">
        <v>5</v>
      </c>
      <c r="AG22" s="195"/>
      <c r="AH22" s="195"/>
      <c r="AI22" s="195"/>
      <c r="AJ22" s="195"/>
      <c r="AK22" s="196"/>
      <c r="AL22" s="81"/>
      <c r="AM22" s="194" t="s">
        <v>4</v>
      </c>
      <c r="AN22" s="195"/>
      <c r="AO22" s="195"/>
      <c r="AP22" s="195"/>
      <c r="AQ22" s="195"/>
      <c r="AR22" s="196"/>
      <c r="AS22" s="81"/>
      <c r="AT22" s="48"/>
    </row>
    <row r="23" spans="1:46" ht="15.75" thickBot="1" x14ac:dyDescent="0.3">
      <c r="A23" s="207"/>
      <c r="B23" s="23">
        <v>1</v>
      </c>
      <c r="C23" s="4">
        <v>2</v>
      </c>
      <c r="D23" s="4">
        <v>3</v>
      </c>
      <c r="E23" s="4">
        <v>4</v>
      </c>
      <c r="F23" s="4">
        <v>5</v>
      </c>
      <c r="G23" s="5">
        <v>6</v>
      </c>
      <c r="H23" s="36"/>
      <c r="I23" s="3">
        <v>1</v>
      </c>
      <c r="J23" s="4">
        <v>2</v>
      </c>
      <c r="K23" s="4">
        <v>3</v>
      </c>
      <c r="L23" s="4">
        <v>4</v>
      </c>
      <c r="M23" s="4">
        <v>5</v>
      </c>
      <c r="N23" s="5">
        <v>6</v>
      </c>
      <c r="O23" s="36"/>
      <c r="P23" s="3">
        <v>1</v>
      </c>
      <c r="Q23" s="4">
        <v>2</v>
      </c>
      <c r="R23" s="4">
        <v>3</v>
      </c>
      <c r="S23" s="4">
        <v>4</v>
      </c>
      <c r="T23" s="4">
        <v>5</v>
      </c>
      <c r="U23" s="6">
        <v>6</v>
      </c>
      <c r="V23" s="36"/>
      <c r="W23" s="2"/>
      <c r="X23" s="193"/>
      <c r="Y23" s="69">
        <v>1</v>
      </c>
      <c r="Z23" s="50">
        <v>2</v>
      </c>
      <c r="AA23" s="50">
        <v>3</v>
      </c>
      <c r="AB23" s="50">
        <v>4</v>
      </c>
      <c r="AC23" s="50">
        <v>5</v>
      </c>
      <c r="AD23" s="51">
        <v>6</v>
      </c>
      <c r="AE23" s="82"/>
      <c r="AF23" s="49">
        <v>1</v>
      </c>
      <c r="AG23" s="50">
        <v>2</v>
      </c>
      <c r="AH23" s="50">
        <v>3</v>
      </c>
      <c r="AI23" s="50">
        <v>4</v>
      </c>
      <c r="AJ23" s="50">
        <v>5</v>
      </c>
      <c r="AK23" s="51">
        <v>6</v>
      </c>
      <c r="AL23" s="82"/>
      <c r="AM23" s="49">
        <v>1</v>
      </c>
      <c r="AN23" s="50">
        <v>2</v>
      </c>
      <c r="AO23" s="50">
        <v>3</v>
      </c>
      <c r="AP23" s="50">
        <v>4</v>
      </c>
      <c r="AQ23" s="50">
        <v>5</v>
      </c>
      <c r="AR23" s="52">
        <v>6</v>
      </c>
      <c r="AS23" s="82"/>
      <c r="AT23" s="48"/>
    </row>
    <row r="24" spans="1:46" x14ac:dyDescent="0.25">
      <c r="A24" s="11" t="s">
        <v>3</v>
      </c>
      <c r="B24" s="8">
        <v>50965</v>
      </c>
      <c r="C24" s="9">
        <v>67092</v>
      </c>
      <c r="D24" s="9">
        <v>71623</v>
      </c>
      <c r="E24" s="9">
        <v>71605</v>
      </c>
      <c r="F24" s="9">
        <v>67976</v>
      </c>
      <c r="G24" s="10">
        <v>68605</v>
      </c>
      <c r="H24" s="11">
        <f>AVERAGE(B24:G24)</f>
        <v>66311</v>
      </c>
      <c r="I24" s="12">
        <v>64743</v>
      </c>
      <c r="J24" s="9">
        <v>90016</v>
      </c>
      <c r="K24" s="9">
        <v>94296</v>
      </c>
      <c r="L24" s="9">
        <v>90187</v>
      </c>
      <c r="M24" s="9">
        <v>88001</v>
      </c>
      <c r="N24" s="10">
        <v>83322</v>
      </c>
      <c r="O24" s="11">
        <f>AVERAGE(I24:N24)</f>
        <v>85094.166666666672</v>
      </c>
      <c r="P24" s="12">
        <v>80363</v>
      </c>
      <c r="Q24" s="9">
        <v>80499</v>
      </c>
      <c r="R24" s="9">
        <v>79889</v>
      </c>
      <c r="S24" s="9">
        <v>73907</v>
      </c>
      <c r="T24" s="9">
        <v>77044</v>
      </c>
      <c r="U24" s="13">
        <v>71162</v>
      </c>
      <c r="V24" s="11">
        <f>AVERAGE(P24:U24)</f>
        <v>77144</v>
      </c>
      <c r="W24" s="2"/>
      <c r="X24" s="57" t="s">
        <v>3</v>
      </c>
      <c r="Y24" s="54">
        <v>63453</v>
      </c>
      <c r="Z24" s="55">
        <v>63246</v>
      </c>
      <c r="AA24" s="55">
        <v>64520</v>
      </c>
      <c r="AB24" s="55">
        <v>62414</v>
      </c>
      <c r="AC24" s="55">
        <v>57148</v>
      </c>
      <c r="AD24" s="56">
        <v>43917</v>
      </c>
      <c r="AE24" s="57">
        <f>AVERAGE(Y24:AD24)</f>
        <v>59116.333333333336</v>
      </c>
      <c r="AF24" s="58">
        <v>83272</v>
      </c>
      <c r="AG24" s="55">
        <v>82641</v>
      </c>
      <c r="AH24" s="55">
        <v>79072</v>
      </c>
      <c r="AI24" s="55">
        <v>70647</v>
      </c>
      <c r="AJ24" s="55">
        <v>58611</v>
      </c>
      <c r="AK24" s="56">
        <v>53017</v>
      </c>
      <c r="AL24" s="57">
        <f>AVERAGE(AF24:AK24)</f>
        <v>71210</v>
      </c>
      <c r="AM24" s="58">
        <v>43349</v>
      </c>
      <c r="AN24" s="55">
        <v>43766</v>
      </c>
      <c r="AO24" s="55">
        <v>44916</v>
      </c>
      <c r="AP24" s="55">
        <v>44672</v>
      </c>
      <c r="AQ24" s="55">
        <v>44775</v>
      </c>
      <c r="AR24" s="59">
        <v>43685</v>
      </c>
      <c r="AS24" s="57">
        <f>AVERAGE(AM24:AR24)</f>
        <v>44193.833333333336</v>
      </c>
      <c r="AT24" s="48"/>
    </row>
    <row r="25" spans="1:46" x14ac:dyDescent="0.25">
      <c r="A25" s="26" t="s">
        <v>2</v>
      </c>
      <c r="B25" s="15">
        <v>54</v>
      </c>
      <c r="C25" s="16">
        <v>38</v>
      </c>
      <c r="D25" s="16">
        <v>59</v>
      </c>
      <c r="E25" s="16">
        <v>53</v>
      </c>
      <c r="F25" s="16">
        <v>55</v>
      </c>
      <c r="G25" s="24">
        <v>49</v>
      </c>
      <c r="H25" s="19">
        <f>AVERAGE(B25:G25)</f>
        <v>51.333333333333336</v>
      </c>
      <c r="I25" s="37">
        <v>55</v>
      </c>
      <c r="J25" s="16">
        <v>238</v>
      </c>
      <c r="K25" s="16">
        <v>46</v>
      </c>
      <c r="L25" s="16">
        <v>45</v>
      </c>
      <c r="M25" s="16">
        <v>42</v>
      </c>
      <c r="N25" s="24">
        <v>52</v>
      </c>
      <c r="O25" s="19">
        <f>AVERAGE(I25:N25)</f>
        <v>79.666666666666671</v>
      </c>
      <c r="P25" s="37">
        <v>50</v>
      </c>
      <c r="Q25" s="16">
        <v>80</v>
      </c>
      <c r="R25" s="16">
        <v>44</v>
      </c>
      <c r="S25" s="16">
        <v>47</v>
      </c>
      <c r="T25" s="16">
        <v>56</v>
      </c>
      <c r="U25" s="38">
        <v>67</v>
      </c>
      <c r="V25" s="19">
        <f>AVERAGE(P25:U25)</f>
        <v>57.333333333333336</v>
      </c>
      <c r="W25" s="2"/>
      <c r="X25" s="72" t="s">
        <v>2</v>
      </c>
      <c r="Y25" s="61">
        <v>62</v>
      </c>
      <c r="Z25" s="62">
        <v>63</v>
      </c>
      <c r="AA25" s="62">
        <v>54</v>
      </c>
      <c r="AB25" s="62">
        <v>55</v>
      </c>
      <c r="AC25" s="62">
        <v>66</v>
      </c>
      <c r="AD25" s="70">
        <v>72</v>
      </c>
      <c r="AE25" s="65">
        <f>AVERAGE(Y25:AD25)</f>
        <v>62</v>
      </c>
      <c r="AF25" s="83">
        <v>66</v>
      </c>
      <c r="AG25" s="62">
        <v>69</v>
      </c>
      <c r="AH25" s="62">
        <v>49</v>
      </c>
      <c r="AI25" s="62">
        <v>59</v>
      </c>
      <c r="AJ25" s="62">
        <v>55</v>
      </c>
      <c r="AK25" s="70">
        <v>59</v>
      </c>
      <c r="AL25" s="65">
        <f>AVERAGE(AF25:AK25)</f>
        <v>59.5</v>
      </c>
      <c r="AM25" s="83">
        <v>60</v>
      </c>
      <c r="AN25" s="62">
        <v>71</v>
      </c>
      <c r="AO25" s="62">
        <v>56</v>
      </c>
      <c r="AP25" s="62">
        <v>53</v>
      </c>
      <c r="AQ25" s="62">
        <v>55</v>
      </c>
      <c r="AR25" s="84">
        <v>61</v>
      </c>
      <c r="AS25" s="65">
        <f>AVERAGE(AM25:AR25)</f>
        <v>59.333333333333336</v>
      </c>
      <c r="AT25" s="48"/>
    </row>
    <row r="26" spans="1:46" ht="15.75" thickBot="1" x14ac:dyDescent="0.3">
      <c r="A26" s="36" t="s">
        <v>1</v>
      </c>
      <c r="B26" s="23">
        <v>36390</v>
      </c>
      <c r="C26" s="4">
        <v>37228</v>
      </c>
      <c r="D26" s="24"/>
      <c r="E26" s="25"/>
      <c r="F26" s="25"/>
      <c r="G26" s="25"/>
      <c r="H26" s="26"/>
      <c r="I26" s="25"/>
      <c r="J26" s="25"/>
      <c r="K26" s="25"/>
      <c r="L26" s="25"/>
      <c r="M26" s="25"/>
      <c r="N26" s="25"/>
      <c r="O26" s="26"/>
      <c r="P26" s="25"/>
      <c r="Q26" s="25"/>
      <c r="R26" s="25"/>
      <c r="S26" s="25"/>
      <c r="T26" s="25"/>
      <c r="U26" s="27"/>
      <c r="V26" s="26">
        <f>AVERAGE(B26:C26)</f>
        <v>36809</v>
      </c>
      <c r="W26" s="2"/>
      <c r="X26" s="82" t="s">
        <v>1</v>
      </c>
      <c r="Y26" s="69">
        <v>36390</v>
      </c>
      <c r="Z26" s="50">
        <v>37228</v>
      </c>
      <c r="AA26" s="70"/>
      <c r="AB26" s="71"/>
      <c r="AC26" s="71"/>
      <c r="AD26" s="71"/>
      <c r="AE26" s="72"/>
      <c r="AF26" s="71"/>
      <c r="AG26" s="71"/>
      <c r="AH26" s="71"/>
      <c r="AI26" s="71"/>
      <c r="AJ26" s="71"/>
      <c r="AK26" s="71"/>
      <c r="AL26" s="72"/>
      <c r="AM26" s="71"/>
      <c r="AN26" s="71"/>
      <c r="AO26" s="71"/>
      <c r="AP26" s="71"/>
      <c r="AQ26" s="71"/>
      <c r="AR26" s="73"/>
      <c r="AS26" s="72">
        <f>AVERAGE(Y26:Z26)</f>
        <v>36809</v>
      </c>
      <c r="AT26" s="48"/>
    </row>
    <row r="27" spans="1:46" ht="15.75" thickBot="1" x14ac:dyDescent="0.3">
      <c r="A27" s="28" t="s">
        <v>0</v>
      </c>
      <c r="B27" s="39">
        <f>B24-(36809+(AVERAGE(B25:G25)))</f>
        <v>14104.666666666664</v>
      </c>
      <c r="C27" s="30">
        <f>C24-(36809+(AVERAGE(B25:G25)))</f>
        <v>30231.666666666664</v>
      </c>
      <c r="D27" s="30">
        <f>D24-(36809+(AVERAGE(B25:G25)))</f>
        <v>34762.666666666664</v>
      </c>
      <c r="E27" s="30">
        <f>E24-(36809+(AVERAGE(B25:G25)))</f>
        <v>34744.666666666664</v>
      </c>
      <c r="F27" s="30">
        <f>F24-(36809+(AVERAGE(B25:G25)))</f>
        <v>31115.666666666664</v>
      </c>
      <c r="G27" s="40">
        <f>G24-(36809+(AVERAGE(B25:G25)))</f>
        <v>31744.666666666664</v>
      </c>
      <c r="H27" s="33">
        <f>AVERAGE(B27:G27)</f>
        <v>29450.666666666661</v>
      </c>
      <c r="I27" s="39">
        <f>I24-(36809+(AVERAGE(I25:N25)))</f>
        <v>27854.333333333336</v>
      </c>
      <c r="J27" s="30">
        <f>J24-(36809+(AVERAGE(I25:N25)))</f>
        <v>53127.333333333336</v>
      </c>
      <c r="K27" s="30">
        <f>K24-(36809+(AVERAGE(I25:N25)))</f>
        <v>57407.333333333336</v>
      </c>
      <c r="L27" s="30">
        <f>L24-(36809+(AVERAGE(I25:N25)))</f>
        <v>53298.333333333336</v>
      </c>
      <c r="M27" s="30">
        <f>M24-(36809+(AVERAGE(I25:N25)))</f>
        <v>51112.333333333336</v>
      </c>
      <c r="N27" s="40">
        <f>N24-(36809+(AVERAGE(I25:N25)))</f>
        <v>46433.333333333336</v>
      </c>
      <c r="O27" s="33">
        <f>AVERAGE(I27:N27)</f>
        <v>48205.5</v>
      </c>
      <c r="P27" s="39">
        <f>P24-(36809+(AVERAGE(P25:U25)))</f>
        <v>43496.666666666664</v>
      </c>
      <c r="Q27" s="30">
        <f>Q24-(36809+(AVERAGE(P25:U25)))</f>
        <v>43632.666666666664</v>
      </c>
      <c r="R27" s="30">
        <f>R24-(36809+(AVERAGE(P25:U25)))</f>
        <v>43022.666666666664</v>
      </c>
      <c r="S27" s="30">
        <f>S24-(36809+(AVERAGE(P25:U25)))</f>
        <v>37040.666666666664</v>
      </c>
      <c r="T27" s="30">
        <f>T24-(36809+(AVERAGE(P25:U25)))</f>
        <v>40177.666666666664</v>
      </c>
      <c r="U27" s="40">
        <f>U24-(36809+(AVERAGE(P25:U25)))</f>
        <v>34295.666666666664</v>
      </c>
      <c r="V27" s="33">
        <f>AVERAGE(P27:U27)</f>
        <v>40277.666666666664</v>
      </c>
      <c r="W27" s="2"/>
      <c r="X27" s="74" t="s">
        <v>0</v>
      </c>
      <c r="Y27" s="85">
        <f>Y24-(36809+(AVERAGE(Y25:AD25)))</f>
        <v>26582</v>
      </c>
      <c r="Z27" s="76">
        <f>Z24-(36809+(AVERAGE(Y25:AD25)))</f>
        <v>26375</v>
      </c>
      <c r="AA27" s="76">
        <f>AA24-(36809+(AVERAGE(Y25:AD25)))</f>
        <v>27649</v>
      </c>
      <c r="AB27" s="76">
        <f>AB24-(36809+(AVERAGE(Y25:AD25)))</f>
        <v>25543</v>
      </c>
      <c r="AC27" s="76">
        <f>AC24-(36809+(AVERAGE(Y25:AD25)))</f>
        <v>20277</v>
      </c>
      <c r="AD27" s="86">
        <f>AD24-(36809+(AVERAGE(Y25:AD25)))</f>
        <v>7046</v>
      </c>
      <c r="AE27" s="79">
        <f>AVERAGE(Y27:AD27)</f>
        <v>22245.333333333332</v>
      </c>
      <c r="AF27" s="85">
        <f>AF24-(36809+(AVERAGE(AF25:AK25)))</f>
        <v>46403.5</v>
      </c>
      <c r="AG27" s="76">
        <f>AG24-(36809+(AVERAGE(AF25:AK25)))</f>
        <v>45772.5</v>
      </c>
      <c r="AH27" s="76">
        <f>AH24-(36809+(AVERAGE(AF25:AK25)))</f>
        <v>42203.5</v>
      </c>
      <c r="AI27" s="76">
        <f>AI24-(36809+(AVERAGE(AF25:AK25)))</f>
        <v>33778.5</v>
      </c>
      <c r="AJ27" s="76">
        <f>AJ24-(36809+(AVERAGE(AF25:AK25)))</f>
        <v>21742.5</v>
      </c>
      <c r="AK27" s="86">
        <f>AK24-(36809+(AVERAGE(AF25:AK25)))</f>
        <v>16148.5</v>
      </c>
      <c r="AL27" s="79">
        <f>AVERAGE(AF27:AK27)</f>
        <v>34341.5</v>
      </c>
      <c r="AM27" s="85">
        <f>AM24-(36809+(AVERAGE(AM25:AR25)))</f>
        <v>6480.6666666666642</v>
      </c>
      <c r="AN27" s="76">
        <f>AN24-(36809+(AVERAGE(AM25:AR25)))</f>
        <v>6897.6666666666642</v>
      </c>
      <c r="AO27" s="76">
        <f>AO24-(36809+(AVERAGE(AM25:AR25)))</f>
        <v>8047.6666666666642</v>
      </c>
      <c r="AP27" s="76">
        <f>AP24-(36809+(AVERAGE(AM25:AR25)))</f>
        <v>7803.6666666666642</v>
      </c>
      <c r="AQ27" s="76">
        <f>AQ24-(36809+(AVERAGE(AM25:AR25)))</f>
        <v>7906.6666666666642</v>
      </c>
      <c r="AR27" s="86">
        <f>AR24-(36809+(AVERAGE(AM25:AR25)))</f>
        <v>6816.6666666666642</v>
      </c>
      <c r="AS27" s="79">
        <f>AVERAGE(AM27:AR27)</f>
        <v>7325.4999999999973</v>
      </c>
      <c r="AT27" s="48"/>
    </row>
    <row r="28" spans="1:46" ht="15.75" thickBot="1" x14ac:dyDescent="0.3">
      <c r="A28" s="2"/>
      <c r="B28" s="2"/>
      <c r="C28" s="2"/>
      <c r="D28" s="2"/>
      <c r="E28" s="2"/>
      <c r="F28" s="2"/>
      <c r="G28" s="2"/>
      <c r="H28" s="34"/>
      <c r="I28" s="2"/>
      <c r="J28" s="2"/>
      <c r="K28" s="2"/>
      <c r="L28" s="2"/>
      <c r="M28" s="2"/>
      <c r="N28" s="2"/>
      <c r="O28" s="34"/>
      <c r="P28" s="2"/>
      <c r="Q28" s="2"/>
      <c r="R28" s="2"/>
      <c r="S28" s="2"/>
      <c r="T28" s="2"/>
      <c r="U28" s="2"/>
      <c r="V28" s="34"/>
      <c r="W28" s="2"/>
      <c r="X28" s="48"/>
      <c r="Y28" s="48"/>
      <c r="Z28" s="48"/>
      <c r="AA28" s="48"/>
      <c r="AB28" s="48"/>
      <c r="AC28" s="48"/>
      <c r="AD28" s="48"/>
      <c r="AE28" s="80"/>
      <c r="AF28" s="48"/>
      <c r="AG28" s="48"/>
      <c r="AH28" s="48"/>
      <c r="AI28" s="48"/>
      <c r="AJ28" s="48"/>
      <c r="AK28" s="48"/>
      <c r="AL28" s="80"/>
      <c r="AM28" s="48"/>
      <c r="AN28" s="48"/>
      <c r="AO28" s="48"/>
      <c r="AP28" s="48"/>
      <c r="AQ28" s="48"/>
      <c r="AR28" s="48"/>
      <c r="AS28" s="80"/>
      <c r="AT28" s="48"/>
    </row>
    <row r="29" spans="1:46" x14ac:dyDescent="0.25">
      <c r="A29" s="206" t="s">
        <v>9</v>
      </c>
      <c r="B29" s="201" t="s">
        <v>6</v>
      </c>
      <c r="C29" s="202"/>
      <c r="D29" s="202"/>
      <c r="E29" s="202"/>
      <c r="F29" s="202"/>
      <c r="G29" s="203"/>
      <c r="H29" s="35"/>
      <c r="I29" s="201" t="s">
        <v>5</v>
      </c>
      <c r="J29" s="202"/>
      <c r="K29" s="202"/>
      <c r="L29" s="202"/>
      <c r="M29" s="202"/>
      <c r="N29" s="203"/>
      <c r="O29" s="35"/>
      <c r="P29" s="201" t="s">
        <v>4</v>
      </c>
      <c r="Q29" s="202"/>
      <c r="R29" s="202"/>
      <c r="S29" s="202"/>
      <c r="T29" s="202"/>
      <c r="U29" s="203"/>
      <c r="V29" s="35"/>
      <c r="W29" s="2"/>
      <c r="X29" s="192" t="s">
        <v>19</v>
      </c>
      <c r="Y29" s="194" t="s">
        <v>6</v>
      </c>
      <c r="Z29" s="195"/>
      <c r="AA29" s="195"/>
      <c r="AB29" s="195"/>
      <c r="AC29" s="195"/>
      <c r="AD29" s="196"/>
      <c r="AE29" s="81"/>
      <c r="AF29" s="194" t="s">
        <v>5</v>
      </c>
      <c r="AG29" s="195"/>
      <c r="AH29" s="195"/>
      <c r="AI29" s="195"/>
      <c r="AJ29" s="195"/>
      <c r="AK29" s="196"/>
      <c r="AL29" s="81"/>
      <c r="AM29" s="194" t="s">
        <v>4</v>
      </c>
      <c r="AN29" s="195"/>
      <c r="AO29" s="195"/>
      <c r="AP29" s="195"/>
      <c r="AQ29" s="195"/>
      <c r="AR29" s="196"/>
      <c r="AS29" s="81"/>
      <c r="AT29" s="48"/>
    </row>
    <row r="30" spans="1:46" ht="15.75" thickBot="1" x14ac:dyDescent="0.3">
      <c r="A30" s="207"/>
      <c r="B30" s="23">
        <v>1</v>
      </c>
      <c r="C30" s="4">
        <v>2</v>
      </c>
      <c r="D30" s="4">
        <v>3</v>
      </c>
      <c r="E30" s="4">
        <v>4</v>
      </c>
      <c r="F30" s="4">
        <v>5</v>
      </c>
      <c r="G30" s="5">
        <v>6</v>
      </c>
      <c r="H30" s="36"/>
      <c r="I30" s="3">
        <v>1</v>
      </c>
      <c r="J30" s="4">
        <v>2</v>
      </c>
      <c r="K30" s="4">
        <v>3</v>
      </c>
      <c r="L30" s="4">
        <v>4</v>
      </c>
      <c r="M30" s="4">
        <v>5</v>
      </c>
      <c r="N30" s="5">
        <v>6</v>
      </c>
      <c r="O30" s="36"/>
      <c r="P30" s="3">
        <v>1</v>
      </c>
      <c r="Q30" s="4">
        <v>2</v>
      </c>
      <c r="R30" s="4">
        <v>3</v>
      </c>
      <c r="S30" s="4">
        <v>4</v>
      </c>
      <c r="T30" s="4">
        <v>5</v>
      </c>
      <c r="U30" s="6">
        <v>6</v>
      </c>
      <c r="V30" s="36"/>
      <c r="W30" s="2"/>
      <c r="X30" s="193"/>
      <c r="Y30" s="69">
        <v>1</v>
      </c>
      <c r="Z30" s="50">
        <v>2</v>
      </c>
      <c r="AA30" s="50">
        <v>3</v>
      </c>
      <c r="AB30" s="50">
        <v>4</v>
      </c>
      <c r="AC30" s="50">
        <v>5</v>
      </c>
      <c r="AD30" s="51">
        <v>6</v>
      </c>
      <c r="AE30" s="82"/>
      <c r="AF30" s="49">
        <v>1</v>
      </c>
      <c r="AG30" s="50">
        <v>2</v>
      </c>
      <c r="AH30" s="50">
        <v>3</v>
      </c>
      <c r="AI30" s="50">
        <v>4</v>
      </c>
      <c r="AJ30" s="50">
        <v>5</v>
      </c>
      <c r="AK30" s="51">
        <v>6</v>
      </c>
      <c r="AL30" s="82"/>
      <c r="AM30" s="49">
        <v>1</v>
      </c>
      <c r="AN30" s="50">
        <v>2</v>
      </c>
      <c r="AO30" s="50">
        <v>3</v>
      </c>
      <c r="AP30" s="50">
        <v>4</v>
      </c>
      <c r="AQ30" s="50">
        <v>5</v>
      </c>
      <c r="AR30" s="52">
        <v>6</v>
      </c>
      <c r="AS30" s="82"/>
      <c r="AT30" s="48"/>
    </row>
    <row r="31" spans="1:46" x14ac:dyDescent="0.25">
      <c r="A31" s="11" t="s">
        <v>3</v>
      </c>
      <c r="B31" s="8">
        <v>53296</v>
      </c>
      <c r="C31" s="9">
        <v>66543</v>
      </c>
      <c r="D31" s="9">
        <v>69516</v>
      </c>
      <c r="E31" s="9">
        <v>68794</v>
      </c>
      <c r="F31" s="9">
        <v>67739</v>
      </c>
      <c r="G31" s="10">
        <v>64957</v>
      </c>
      <c r="H31" s="11">
        <f>AVERAGE(B31:G31)</f>
        <v>65140.833333333336</v>
      </c>
      <c r="I31" s="12">
        <v>66205</v>
      </c>
      <c r="J31" s="9">
        <v>82197</v>
      </c>
      <c r="K31" s="9">
        <v>89449</v>
      </c>
      <c r="L31" s="9">
        <v>85981</v>
      </c>
      <c r="M31" s="9">
        <v>90059</v>
      </c>
      <c r="N31" s="10">
        <v>87562</v>
      </c>
      <c r="O31" s="11">
        <f>AVERAGE(I31:N31)</f>
        <v>83575.5</v>
      </c>
      <c r="P31" s="12">
        <v>63969</v>
      </c>
      <c r="Q31" s="9">
        <v>71809</v>
      </c>
      <c r="R31" s="9">
        <v>73906</v>
      </c>
      <c r="S31" s="9">
        <v>72902</v>
      </c>
      <c r="T31" s="9">
        <v>75347</v>
      </c>
      <c r="U31" s="13">
        <v>69992</v>
      </c>
      <c r="V31" s="11">
        <f>AVERAGE(P31:U31)</f>
        <v>71320.833333333328</v>
      </c>
      <c r="W31" s="2"/>
      <c r="X31" s="57" t="s">
        <v>3</v>
      </c>
      <c r="Y31" s="54">
        <v>62706</v>
      </c>
      <c r="Z31" s="55">
        <v>63624</v>
      </c>
      <c r="AA31" s="55">
        <v>62387</v>
      </c>
      <c r="AB31" s="55">
        <v>61658</v>
      </c>
      <c r="AC31" s="55">
        <v>53599</v>
      </c>
      <c r="AD31" s="56">
        <v>42790</v>
      </c>
      <c r="AE31" s="57">
        <f>AVERAGE(Y31:AD31)</f>
        <v>57794</v>
      </c>
      <c r="AF31" s="58">
        <v>87588</v>
      </c>
      <c r="AG31" s="55">
        <v>80836</v>
      </c>
      <c r="AH31" s="55">
        <v>76483</v>
      </c>
      <c r="AI31" s="55">
        <v>65205</v>
      </c>
      <c r="AJ31" s="55">
        <v>52963</v>
      </c>
      <c r="AK31" s="56">
        <v>53409</v>
      </c>
      <c r="AL31" s="57">
        <f>AVERAGE(AF31:AK31)</f>
        <v>69414</v>
      </c>
      <c r="AM31" s="58">
        <v>41723</v>
      </c>
      <c r="AN31" s="55">
        <v>41959</v>
      </c>
      <c r="AO31" s="55">
        <v>40655</v>
      </c>
      <c r="AP31" s="55">
        <v>41663</v>
      </c>
      <c r="AQ31" s="55">
        <v>41983</v>
      </c>
      <c r="AR31" s="59">
        <v>42439</v>
      </c>
      <c r="AS31" s="57">
        <f>AVERAGE(AM31:AR31)</f>
        <v>41737</v>
      </c>
      <c r="AT31" s="48"/>
    </row>
    <row r="32" spans="1:46" x14ac:dyDescent="0.25">
      <c r="A32" s="26" t="s">
        <v>2</v>
      </c>
      <c r="B32" s="15">
        <v>47</v>
      </c>
      <c r="C32" s="16">
        <v>57</v>
      </c>
      <c r="D32" s="16">
        <v>53</v>
      </c>
      <c r="E32" s="16">
        <v>42</v>
      </c>
      <c r="F32" s="16">
        <v>54</v>
      </c>
      <c r="G32" s="24">
        <v>48</v>
      </c>
      <c r="H32" s="19">
        <f>AVERAGE(B32:G32)</f>
        <v>50.166666666666664</v>
      </c>
      <c r="I32" s="37">
        <v>58</v>
      </c>
      <c r="J32" s="16">
        <v>61</v>
      </c>
      <c r="K32" s="16">
        <v>56</v>
      </c>
      <c r="L32" s="16">
        <v>60</v>
      </c>
      <c r="M32" s="16">
        <v>46</v>
      </c>
      <c r="N32" s="24">
        <v>65</v>
      </c>
      <c r="O32" s="19">
        <f>AVERAGE(I32:N32)</f>
        <v>57.666666666666664</v>
      </c>
      <c r="P32" s="37">
        <v>52</v>
      </c>
      <c r="Q32" s="16">
        <v>59</v>
      </c>
      <c r="R32" s="16">
        <v>48</v>
      </c>
      <c r="S32" s="16">
        <v>57</v>
      </c>
      <c r="T32" s="16">
        <v>64</v>
      </c>
      <c r="U32" s="38">
        <v>60</v>
      </c>
      <c r="V32" s="19">
        <f>AVERAGE(P32:U32)</f>
        <v>56.666666666666664</v>
      </c>
      <c r="W32" s="2"/>
      <c r="X32" s="72" t="s">
        <v>2</v>
      </c>
      <c r="Y32" s="61">
        <v>66</v>
      </c>
      <c r="Z32" s="62">
        <v>58</v>
      </c>
      <c r="AA32" s="62">
        <v>66</v>
      </c>
      <c r="AB32" s="62">
        <v>62</v>
      </c>
      <c r="AC32" s="62">
        <v>73</v>
      </c>
      <c r="AD32" s="70">
        <v>60</v>
      </c>
      <c r="AE32" s="65">
        <f>AVERAGE(Y32:AD32)</f>
        <v>64.166666666666671</v>
      </c>
      <c r="AF32" s="83">
        <v>60</v>
      </c>
      <c r="AG32" s="62">
        <v>51</v>
      </c>
      <c r="AH32" s="62">
        <v>55</v>
      </c>
      <c r="AI32" s="62">
        <v>63</v>
      </c>
      <c r="AJ32" s="62">
        <v>53</v>
      </c>
      <c r="AK32" s="70">
        <v>60</v>
      </c>
      <c r="AL32" s="65">
        <f>AVERAGE(AF32:AK32)</f>
        <v>57</v>
      </c>
      <c r="AM32" s="83">
        <v>67</v>
      </c>
      <c r="AN32" s="62">
        <v>59</v>
      </c>
      <c r="AO32" s="62">
        <v>60</v>
      </c>
      <c r="AP32" s="62">
        <v>52</v>
      </c>
      <c r="AQ32" s="62">
        <v>62</v>
      </c>
      <c r="AR32" s="84">
        <v>65</v>
      </c>
      <c r="AS32" s="65">
        <f>AVERAGE(AM32:AR32)</f>
        <v>60.833333333333336</v>
      </c>
      <c r="AT32" s="48"/>
    </row>
    <row r="33" spans="1:46" ht="15.75" thickBot="1" x14ac:dyDescent="0.3">
      <c r="A33" s="36" t="s">
        <v>1</v>
      </c>
      <c r="B33" s="23">
        <v>36414</v>
      </c>
      <c r="C33" s="4">
        <v>37075</v>
      </c>
      <c r="D33" s="24"/>
      <c r="E33" s="25"/>
      <c r="F33" s="25"/>
      <c r="G33" s="25"/>
      <c r="H33" s="26"/>
      <c r="I33" s="25"/>
      <c r="J33" s="25"/>
      <c r="K33" s="25"/>
      <c r="L33" s="25"/>
      <c r="M33" s="25"/>
      <c r="N33" s="25"/>
      <c r="O33" s="26"/>
      <c r="P33" s="25"/>
      <c r="Q33" s="25"/>
      <c r="R33" s="25"/>
      <c r="S33" s="25"/>
      <c r="T33" s="25"/>
      <c r="U33" s="27"/>
      <c r="V33" s="26">
        <f>AVERAGE(B33:C33)</f>
        <v>36744.5</v>
      </c>
      <c r="W33" s="2"/>
      <c r="X33" s="82" t="s">
        <v>1</v>
      </c>
      <c r="Y33" s="69">
        <v>36414</v>
      </c>
      <c r="Z33" s="50">
        <v>37075</v>
      </c>
      <c r="AA33" s="70"/>
      <c r="AB33" s="71"/>
      <c r="AC33" s="71"/>
      <c r="AD33" s="71"/>
      <c r="AE33" s="72"/>
      <c r="AF33" s="71"/>
      <c r="AG33" s="71"/>
      <c r="AH33" s="71"/>
      <c r="AI33" s="71"/>
      <c r="AJ33" s="71"/>
      <c r="AK33" s="71"/>
      <c r="AL33" s="72"/>
      <c r="AM33" s="71"/>
      <c r="AN33" s="71"/>
      <c r="AO33" s="71"/>
      <c r="AP33" s="71"/>
      <c r="AQ33" s="71"/>
      <c r="AR33" s="73"/>
      <c r="AS33" s="72">
        <f>AVERAGE(Y33:Z33)</f>
        <v>36744.5</v>
      </c>
      <c r="AT33" s="48"/>
    </row>
    <row r="34" spans="1:46" ht="15.75" thickBot="1" x14ac:dyDescent="0.3">
      <c r="A34" s="28" t="s">
        <v>0</v>
      </c>
      <c r="B34" s="39">
        <f>B31-(36744.5+(AVERAGE(B32:G32)))</f>
        <v>16501.333333333336</v>
      </c>
      <c r="C34" s="30">
        <f>C31-(36744.5+(AVERAGE(B32:G32)))</f>
        <v>29748.333333333336</v>
      </c>
      <c r="D34" s="30">
        <f>D31-(36744.5+(AVERAGE(B32:G32)))</f>
        <v>32721.333333333336</v>
      </c>
      <c r="E34" s="30">
        <f>E31-(36744.5+(AVERAGE(B32:G32)))</f>
        <v>31999.333333333336</v>
      </c>
      <c r="F34" s="30">
        <f>F31-(36744.5+(AVERAGE(B32:G32)))</f>
        <v>30944.333333333336</v>
      </c>
      <c r="G34" s="40">
        <f>G31-(36744.5+(AVERAGE(B32:G32)))</f>
        <v>28162.333333333336</v>
      </c>
      <c r="H34" s="33">
        <f>AVERAGE(B34:G34)</f>
        <v>28346.166666666672</v>
      </c>
      <c r="I34" s="39">
        <f>I31-(36744.5+(AVERAGE(I32:N32)))</f>
        <v>29402.833333333336</v>
      </c>
      <c r="J34" s="30">
        <f>J31-(36744.5+(AVERAGE(I32:N32)))</f>
        <v>45394.833333333336</v>
      </c>
      <c r="K34" s="30">
        <f>K31-(36744.5+(AVERAGE(I32:N32)))</f>
        <v>52646.833333333336</v>
      </c>
      <c r="L34" s="30">
        <f>L31-(36744.5+(AVERAGE(I32:N32)))</f>
        <v>49178.833333333336</v>
      </c>
      <c r="M34" s="30">
        <f>M31-(36744.5+(AVERAGE(I32:N32)))</f>
        <v>53256.833333333336</v>
      </c>
      <c r="N34" s="40">
        <f>N31-(36744.5+(AVERAGE(I32:N32)))</f>
        <v>50759.833333333336</v>
      </c>
      <c r="O34" s="33">
        <f>AVERAGE(I34:N34)</f>
        <v>46773.333333333336</v>
      </c>
      <c r="P34" s="39">
        <f>P31-(36744.5+(AVERAGE(P32:U32)))</f>
        <v>27167.833333333336</v>
      </c>
      <c r="Q34" s="30">
        <f>Q31-(36744.5+(AVERAGE(P32:U32)))</f>
        <v>35007.833333333336</v>
      </c>
      <c r="R34" s="30">
        <f>R31-(36744.5+(AVERAGE(P32:U32)))</f>
        <v>37104.833333333336</v>
      </c>
      <c r="S34" s="30">
        <f>S31-(36744.5+(AVERAGE(P32:U32)))</f>
        <v>36100.833333333336</v>
      </c>
      <c r="T34" s="30">
        <f>T31-(36744.5+(AVERAGE(P32:U32)))</f>
        <v>38545.833333333336</v>
      </c>
      <c r="U34" s="40">
        <f>U31-(36744.5+(AVERAGE(P32:U32)))</f>
        <v>33190.833333333336</v>
      </c>
      <c r="V34" s="33">
        <f>AVERAGE(P34:U34)</f>
        <v>34519.666666666672</v>
      </c>
      <c r="W34" s="2"/>
      <c r="X34" s="74" t="s">
        <v>0</v>
      </c>
      <c r="Y34" s="85">
        <f>Y31-(36744.5+(AVERAGE(Y32:AD32)))</f>
        <v>25897.333333333336</v>
      </c>
      <c r="Z34" s="76">
        <f>Z31-(36744.5+(AVERAGE(Y32:AD32)))</f>
        <v>26815.333333333336</v>
      </c>
      <c r="AA34" s="76">
        <f>AA31-(36744.5+(AVERAGE(Y32:AD32)))</f>
        <v>25578.333333333336</v>
      </c>
      <c r="AB34" s="76">
        <f>AB31-(36744.5+(AVERAGE(Y32:AD32)))</f>
        <v>24849.333333333336</v>
      </c>
      <c r="AC34" s="76">
        <f>AC31-(36744.5+(AVERAGE(Y32:AD32)))</f>
        <v>16790.333333333336</v>
      </c>
      <c r="AD34" s="86">
        <f>AD31-(36744.5+(AVERAGE(Y32:AD32)))</f>
        <v>5981.3333333333358</v>
      </c>
      <c r="AE34" s="79">
        <f>AVERAGE(Y34:AD34)</f>
        <v>20985.333333333339</v>
      </c>
      <c r="AF34" s="85">
        <f>AF31-(36744.5+(AVERAGE(AF32:AK32)))</f>
        <v>50786.5</v>
      </c>
      <c r="AG34" s="76">
        <f>AG31-(36744.5+(AVERAGE(AF32:AK32)))</f>
        <v>44034.5</v>
      </c>
      <c r="AH34" s="76">
        <f>AH31-(36744.5+(AVERAGE(AF32:AK32)))</f>
        <v>39681.5</v>
      </c>
      <c r="AI34" s="76">
        <f>AI31-(36744.5+(AVERAGE(AF32:AK32)))</f>
        <v>28403.5</v>
      </c>
      <c r="AJ34" s="76">
        <f>AJ31-(36744.5+(AVERAGE(AF32:AK32)))</f>
        <v>16161.5</v>
      </c>
      <c r="AK34" s="86">
        <f>AK31-(36744.5+(AVERAGE(AF32:AK32)))</f>
        <v>16607.5</v>
      </c>
      <c r="AL34" s="79">
        <f>AVERAGE(AF34:AK34)</f>
        <v>32612.5</v>
      </c>
      <c r="AM34" s="85">
        <f>AM31-(36744.5+(AVERAGE(AM32:AR32)))</f>
        <v>4917.6666666666642</v>
      </c>
      <c r="AN34" s="76">
        <f>AN31-(36744.5+(AVERAGE(AM32:AR32)))</f>
        <v>5153.6666666666642</v>
      </c>
      <c r="AO34" s="76">
        <f>AO31-(36744.5+(AVERAGE(AM32:AR32)))</f>
        <v>3849.6666666666642</v>
      </c>
      <c r="AP34" s="76">
        <f>AP31-(36744.5+(AVERAGE(AM32:AR32)))</f>
        <v>4857.6666666666642</v>
      </c>
      <c r="AQ34" s="76">
        <f>AQ31-(36744.5+(AVERAGE(AM32:AR32)))</f>
        <v>5177.6666666666642</v>
      </c>
      <c r="AR34" s="86">
        <f>AR31-(36744.5+(AVERAGE(AM32:AR32)))</f>
        <v>5633.6666666666642</v>
      </c>
      <c r="AS34" s="79">
        <f>AVERAGE(AM34:AR34)</f>
        <v>4931.6666666666642</v>
      </c>
      <c r="AT34" s="48"/>
    </row>
    <row r="35" spans="1:46" ht="15.75" thickBot="1" x14ac:dyDescent="0.3">
      <c r="A35" s="2"/>
      <c r="B35" s="2"/>
      <c r="C35" s="2"/>
      <c r="D35" s="2"/>
      <c r="E35" s="2"/>
      <c r="F35" s="2"/>
      <c r="G35" s="2"/>
      <c r="H35" s="34"/>
      <c r="I35" s="2"/>
      <c r="J35" s="2"/>
      <c r="K35" s="2"/>
      <c r="L35" s="2"/>
      <c r="M35" s="2"/>
      <c r="N35" s="2"/>
      <c r="O35" s="34"/>
      <c r="P35" s="2"/>
      <c r="Q35" s="2"/>
      <c r="R35" s="2"/>
      <c r="S35" s="2"/>
      <c r="T35" s="2"/>
      <c r="U35" s="2"/>
      <c r="V35" s="34"/>
      <c r="W35" s="2"/>
      <c r="X35" s="48"/>
      <c r="Y35" s="48"/>
      <c r="Z35" s="48"/>
      <c r="AA35" s="48"/>
      <c r="AB35" s="48"/>
      <c r="AC35" s="48"/>
      <c r="AD35" s="48"/>
      <c r="AE35" s="80"/>
      <c r="AF35" s="48"/>
      <c r="AG35" s="48"/>
      <c r="AH35" s="48"/>
      <c r="AI35" s="48"/>
      <c r="AJ35" s="48"/>
      <c r="AK35" s="48"/>
      <c r="AL35" s="80"/>
      <c r="AM35" s="48"/>
      <c r="AN35" s="48"/>
      <c r="AO35" s="48"/>
      <c r="AP35" s="48"/>
      <c r="AQ35" s="48"/>
      <c r="AR35" s="48"/>
      <c r="AS35" s="80"/>
      <c r="AT35" s="48"/>
    </row>
    <row r="36" spans="1:46" x14ac:dyDescent="0.25">
      <c r="A36" s="206" t="s">
        <v>8</v>
      </c>
      <c r="B36" s="201" t="s">
        <v>6</v>
      </c>
      <c r="C36" s="202"/>
      <c r="D36" s="202"/>
      <c r="E36" s="202"/>
      <c r="F36" s="202"/>
      <c r="G36" s="203"/>
      <c r="H36" s="35"/>
      <c r="I36" s="201" t="s">
        <v>5</v>
      </c>
      <c r="J36" s="202"/>
      <c r="K36" s="202"/>
      <c r="L36" s="202"/>
      <c r="M36" s="202"/>
      <c r="N36" s="203"/>
      <c r="O36" s="35"/>
      <c r="P36" s="201" t="s">
        <v>4</v>
      </c>
      <c r="Q36" s="202"/>
      <c r="R36" s="202"/>
      <c r="S36" s="202"/>
      <c r="T36" s="202"/>
      <c r="U36" s="203"/>
      <c r="V36" s="35"/>
      <c r="W36" s="2"/>
      <c r="X36" s="192" t="s">
        <v>20</v>
      </c>
      <c r="Y36" s="194" t="s">
        <v>6</v>
      </c>
      <c r="Z36" s="195"/>
      <c r="AA36" s="195"/>
      <c r="AB36" s="195"/>
      <c r="AC36" s="195"/>
      <c r="AD36" s="196"/>
      <c r="AE36" s="81"/>
      <c r="AF36" s="194" t="s">
        <v>5</v>
      </c>
      <c r="AG36" s="195"/>
      <c r="AH36" s="195"/>
      <c r="AI36" s="195"/>
      <c r="AJ36" s="195"/>
      <c r="AK36" s="196"/>
      <c r="AL36" s="81"/>
      <c r="AM36" s="194" t="s">
        <v>4</v>
      </c>
      <c r="AN36" s="195"/>
      <c r="AO36" s="195"/>
      <c r="AP36" s="195"/>
      <c r="AQ36" s="195"/>
      <c r="AR36" s="196"/>
      <c r="AS36" s="81"/>
      <c r="AT36" s="48"/>
    </row>
    <row r="37" spans="1:46" ht="15.75" thickBot="1" x14ac:dyDescent="0.3">
      <c r="A37" s="207"/>
      <c r="B37" s="23">
        <v>1</v>
      </c>
      <c r="C37" s="4">
        <v>2</v>
      </c>
      <c r="D37" s="4">
        <v>3</v>
      </c>
      <c r="E37" s="4">
        <v>4</v>
      </c>
      <c r="F37" s="4">
        <v>5</v>
      </c>
      <c r="G37" s="5">
        <v>6</v>
      </c>
      <c r="H37" s="36"/>
      <c r="I37" s="3">
        <v>1</v>
      </c>
      <c r="J37" s="4">
        <v>2</v>
      </c>
      <c r="K37" s="4">
        <v>3</v>
      </c>
      <c r="L37" s="4">
        <v>4</v>
      </c>
      <c r="M37" s="4">
        <v>5</v>
      </c>
      <c r="N37" s="5">
        <v>6</v>
      </c>
      <c r="O37" s="36"/>
      <c r="P37" s="3">
        <v>1</v>
      </c>
      <c r="Q37" s="4">
        <v>2</v>
      </c>
      <c r="R37" s="4">
        <v>3</v>
      </c>
      <c r="S37" s="4">
        <v>4</v>
      </c>
      <c r="T37" s="4">
        <v>5</v>
      </c>
      <c r="U37" s="6">
        <v>6</v>
      </c>
      <c r="V37" s="36"/>
      <c r="W37" s="2"/>
      <c r="X37" s="193"/>
      <c r="Y37" s="69">
        <v>1</v>
      </c>
      <c r="Z37" s="50">
        <v>2</v>
      </c>
      <c r="AA37" s="50">
        <v>3</v>
      </c>
      <c r="AB37" s="50">
        <v>4</v>
      </c>
      <c r="AC37" s="50">
        <v>5</v>
      </c>
      <c r="AD37" s="51">
        <v>6</v>
      </c>
      <c r="AE37" s="82"/>
      <c r="AF37" s="49">
        <v>1</v>
      </c>
      <c r="AG37" s="50">
        <v>2</v>
      </c>
      <c r="AH37" s="50">
        <v>3</v>
      </c>
      <c r="AI37" s="50">
        <v>4</v>
      </c>
      <c r="AJ37" s="50">
        <v>5</v>
      </c>
      <c r="AK37" s="51">
        <v>6</v>
      </c>
      <c r="AL37" s="82"/>
      <c r="AM37" s="49">
        <v>1</v>
      </c>
      <c r="AN37" s="50">
        <v>2</v>
      </c>
      <c r="AO37" s="50">
        <v>3</v>
      </c>
      <c r="AP37" s="50">
        <v>4</v>
      </c>
      <c r="AQ37" s="50">
        <v>5</v>
      </c>
      <c r="AR37" s="52">
        <v>6</v>
      </c>
      <c r="AS37" s="82"/>
      <c r="AT37" s="48"/>
    </row>
    <row r="38" spans="1:46" x14ac:dyDescent="0.25">
      <c r="A38" s="11" t="s">
        <v>3</v>
      </c>
      <c r="B38" s="8">
        <v>49022</v>
      </c>
      <c r="C38" s="9">
        <v>55493</v>
      </c>
      <c r="D38" s="9">
        <v>70642</v>
      </c>
      <c r="E38" s="9">
        <v>72322</v>
      </c>
      <c r="F38" s="9">
        <v>71342</v>
      </c>
      <c r="G38" s="13">
        <v>70379</v>
      </c>
      <c r="H38" s="41">
        <f>AVERAGE(B38:G38)</f>
        <v>64866.666666666664</v>
      </c>
      <c r="I38" s="12">
        <v>56468</v>
      </c>
      <c r="J38" s="9">
        <v>81035</v>
      </c>
      <c r="K38" s="9">
        <v>91544</v>
      </c>
      <c r="L38" s="9">
        <v>89903</v>
      </c>
      <c r="M38" s="9">
        <v>92327</v>
      </c>
      <c r="N38" s="10">
        <v>89283</v>
      </c>
      <c r="O38" s="11">
        <f>AVERAGE(I38:N38)</f>
        <v>83426.666666666672</v>
      </c>
      <c r="P38" s="12">
        <v>62727</v>
      </c>
      <c r="Q38" s="9">
        <v>76016</v>
      </c>
      <c r="R38" s="9">
        <v>72836</v>
      </c>
      <c r="S38" s="9">
        <v>67488</v>
      </c>
      <c r="T38" s="9">
        <v>76804</v>
      </c>
      <c r="U38" s="13">
        <v>77792</v>
      </c>
      <c r="V38" s="11">
        <f>AVERAGE(P38:U38)</f>
        <v>72277.166666666672</v>
      </c>
      <c r="W38" s="2"/>
      <c r="X38" s="57" t="s">
        <v>3</v>
      </c>
      <c r="Y38" s="54">
        <v>60803</v>
      </c>
      <c r="Z38" s="55">
        <v>52354</v>
      </c>
      <c r="AA38" s="55">
        <v>64457</v>
      </c>
      <c r="AB38" s="55">
        <v>57228</v>
      </c>
      <c r="AC38" s="55">
        <v>47595</v>
      </c>
      <c r="AD38" s="59">
        <v>42595</v>
      </c>
      <c r="AE38" s="87">
        <f>AVERAGE(Y38:AD38)</f>
        <v>54172</v>
      </c>
      <c r="AF38" s="58">
        <v>78931</v>
      </c>
      <c r="AG38" s="55">
        <v>73768</v>
      </c>
      <c r="AH38" s="55">
        <v>82950</v>
      </c>
      <c r="AI38" s="55">
        <v>77717</v>
      </c>
      <c r="AJ38" s="55">
        <v>56567</v>
      </c>
      <c r="AK38" s="56">
        <v>54161</v>
      </c>
      <c r="AL38" s="57">
        <f>AVERAGE(AF38:AK38)</f>
        <v>70682.333333333328</v>
      </c>
      <c r="AM38" s="58">
        <v>44741</v>
      </c>
      <c r="AN38" s="55">
        <v>45682</v>
      </c>
      <c r="AO38" s="55">
        <v>46141</v>
      </c>
      <c r="AP38" s="55">
        <v>44146</v>
      </c>
      <c r="AQ38" s="55">
        <v>44791</v>
      </c>
      <c r="AR38" s="59">
        <v>44560</v>
      </c>
      <c r="AS38" s="57">
        <f>AVERAGE(AM38:AR38)</f>
        <v>45010.166666666664</v>
      </c>
      <c r="AT38" s="48"/>
    </row>
    <row r="39" spans="1:46" x14ac:dyDescent="0.25">
      <c r="A39" s="26" t="s">
        <v>2</v>
      </c>
      <c r="B39" s="15">
        <v>47</v>
      </c>
      <c r="C39" s="16">
        <v>41</v>
      </c>
      <c r="D39" s="16">
        <v>58</v>
      </c>
      <c r="E39" s="16">
        <v>49</v>
      </c>
      <c r="F39" s="16">
        <v>53</v>
      </c>
      <c r="G39" s="38">
        <v>47</v>
      </c>
      <c r="H39" s="42">
        <f>AVERAGE(B39:G39)</f>
        <v>49.166666666666664</v>
      </c>
      <c r="I39" s="37">
        <v>51</v>
      </c>
      <c r="J39" s="16">
        <v>46</v>
      </c>
      <c r="K39" s="16">
        <v>51</v>
      </c>
      <c r="L39" s="16">
        <v>57</v>
      </c>
      <c r="M39" s="16">
        <v>55</v>
      </c>
      <c r="N39" s="24">
        <v>64</v>
      </c>
      <c r="O39" s="19">
        <f>AVERAGE(I39:N39)</f>
        <v>54</v>
      </c>
      <c r="P39" s="37">
        <v>46</v>
      </c>
      <c r="Q39" s="16">
        <v>45</v>
      </c>
      <c r="R39" s="16">
        <v>65</v>
      </c>
      <c r="S39" s="16">
        <v>61</v>
      </c>
      <c r="T39" s="16">
        <v>58</v>
      </c>
      <c r="U39" s="38">
        <v>50</v>
      </c>
      <c r="V39" s="19">
        <f>AVERAGE(P39:U39)</f>
        <v>54.166666666666664</v>
      </c>
      <c r="W39" s="2"/>
      <c r="X39" s="72" t="s">
        <v>2</v>
      </c>
      <c r="Y39" s="61">
        <v>63</v>
      </c>
      <c r="Z39" s="62">
        <v>66</v>
      </c>
      <c r="AA39" s="62">
        <v>57</v>
      </c>
      <c r="AB39" s="62">
        <v>56</v>
      </c>
      <c r="AC39" s="62">
        <v>58</v>
      </c>
      <c r="AD39" s="84">
        <v>61</v>
      </c>
      <c r="AE39" s="88">
        <f>AVERAGE(Y39:AD39)</f>
        <v>60.166666666666664</v>
      </c>
      <c r="AF39" s="83">
        <v>60</v>
      </c>
      <c r="AG39" s="62">
        <v>70</v>
      </c>
      <c r="AH39" s="62">
        <v>51</v>
      </c>
      <c r="AI39" s="62">
        <v>57</v>
      </c>
      <c r="AJ39" s="62">
        <v>73</v>
      </c>
      <c r="AK39" s="70">
        <v>69</v>
      </c>
      <c r="AL39" s="65">
        <f>AVERAGE(AF39:AK39)</f>
        <v>63.333333333333336</v>
      </c>
      <c r="AM39" s="83">
        <v>67</v>
      </c>
      <c r="AN39" s="62">
        <v>68</v>
      </c>
      <c r="AO39" s="62">
        <v>71</v>
      </c>
      <c r="AP39" s="62">
        <v>61</v>
      </c>
      <c r="AQ39" s="62">
        <v>61</v>
      </c>
      <c r="AR39" s="84">
        <v>74</v>
      </c>
      <c r="AS39" s="65">
        <f>AVERAGE(AM39:AR39)</f>
        <v>67</v>
      </c>
      <c r="AT39" s="48"/>
    </row>
    <row r="40" spans="1:46" ht="15.75" thickBot="1" x14ac:dyDescent="0.3">
      <c r="A40" s="36" t="s">
        <v>1</v>
      </c>
      <c r="B40" s="43">
        <v>36591</v>
      </c>
      <c r="C40" s="17">
        <v>37370</v>
      </c>
      <c r="D40" s="18"/>
      <c r="E40" s="44"/>
      <c r="F40" s="44"/>
      <c r="G40" s="42"/>
      <c r="H40" s="27"/>
      <c r="I40" s="25"/>
      <c r="J40" s="25"/>
      <c r="K40" s="25"/>
      <c r="L40" s="25"/>
      <c r="M40" s="25"/>
      <c r="N40" s="25"/>
      <c r="O40" s="26"/>
      <c r="P40" s="25"/>
      <c r="Q40" s="25"/>
      <c r="R40" s="25"/>
      <c r="S40" s="25"/>
      <c r="T40" s="25"/>
      <c r="U40" s="27"/>
      <c r="V40" s="26">
        <f>AVERAGE(B40:C40)</f>
        <v>36980.5</v>
      </c>
      <c r="W40" s="2"/>
      <c r="X40" s="82" t="s">
        <v>1</v>
      </c>
      <c r="Y40" s="89">
        <v>36591</v>
      </c>
      <c r="Z40" s="63">
        <v>37370</v>
      </c>
      <c r="AA40" s="64"/>
      <c r="AB40" s="90"/>
      <c r="AC40" s="90"/>
      <c r="AD40" s="88"/>
      <c r="AE40" s="73"/>
      <c r="AF40" s="71"/>
      <c r="AG40" s="71"/>
      <c r="AH40" s="71"/>
      <c r="AI40" s="71"/>
      <c r="AJ40" s="71"/>
      <c r="AK40" s="71"/>
      <c r="AL40" s="72"/>
      <c r="AM40" s="71"/>
      <c r="AN40" s="71"/>
      <c r="AO40" s="71"/>
      <c r="AP40" s="71"/>
      <c r="AQ40" s="71"/>
      <c r="AR40" s="73"/>
      <c r="AS40" s="72">
        <f>AVERAGE(Y40:Z40)</f>
        <v>36980.5</v>
      </c>
      <c r="AT40" s="48"/>
    </row>
    <row r="41" spans="1:46" ht="15.75" thickBot="1" x14ac:dyDescent="0.3">
      <c r="A41" s="45" t="s">
        <v>0</v>
      </c>
      <c r="B41" s="39">
        <f>B38-(36980.5+(AVERAGE(B39:G39)))</f>
        <v>11992.333333333336</v>
      </c>
      <c r="C41" s="30">
        <f>C38-(36980.5+(AVERAGE(B39:G39)))</f>
        <v>18463.333333333336</v>
      </c>
      <c r="D41" s="30">
        <f>D38-(36980.5+(AVERAGE(B39:G39)))</f>
        <v>33612.333333333336</v>
      </c>
      <c r="E41" s="30">
        <f>E38-(36980.5+(AVERAGE(B39:G39)))</f>
        <v>35292.333333333336</v>
      </c>
      <c r="F41" s="30">
        <f>F38-(36980.5+(AVERAGE(B39:G39)))</f>
        <v>34312.333333333336</v>
      </c>
      <c r="G41" s="46">
        <f>G38-(36980.5+(AVERAGE(B39:G39)))</f>
        <v>33349.333333333336</v>
      </c>
      <c r="H41" s="47">
        <f>AVERAGE(B41:G41)</f>
        <v>27837.000000000004</v>
      </c>
      <c r="I41" s="39">
        <f>I38-(36980.5+(AVERAGE(I39:N39)))</f>
        <v>19433.5</v>
      </c>
      <c r="J41" s="30">
        <f>J38-(36980.5+(AVERAGE(I39:N39)))</f>
        <v>44000.5</v>
      </c>
      <c r="K41" s="30">
        <f>K38-(36980.5+(AVERAGE(I39:N39)))</f>
        <v>54509.5</v>
      </c>
      <c r="L41" s="30">
        <f>L38-(36980.5+(AVERAGE(I39:N39)))</f>
        <v>52868.5</v>
      </c>
      <c r="M41" s="30">
        <f>M38-(36980.5+(AVERAGE(I39:N39)))</f>
        <v>55292.5</v>
      </c>
      <c r="N41" s="46">
        <f>N38-(36980.5+(AVERAGE(I39:N39)))</f>
        <v>52248.5</v>
      </c>
      <c r="O41" s="33">
        <f>AVERAGE(I41:N41)</f>
        <v>46392.166666666664</v>
      </c>
      <c r="P41" s="39">
        <f>P38-(36980.5+(AVERAGE(P39:U39)))</f>
        <v>25692.333333333336</v>
      </c>
      <c r="Q41" s="30">
        <f>Q38-(36980.5+(AVERAGE(P39:U39)))</f>
        <v>38981.333333333336</v>
      </c>
      <c r="R41" s="30">
        <f>R38-(36980.5+(AVERAGE(P39:U39)))</f>
        <v>35801.333333333336</v>
      </c>
      <c r="S41" s="30">
        <f>S38-(36980.5+(AVERAGE(P39:U39)))</f>
        <v>30453.333333333336</v>
      </c>
      <c r="T41" s="30">
        <f>T38-(36980.5+(AVERAGE(P39:U39)))</f>
        <v>39769.333333333336</v>
      </c>
      <c r="U41" s="46">
        <f>U38-(36980.5+(AVERAGE(P39:U39)))</f>
        <v>40757.333333333336</v>
      </c>
      <c r="V41" s="33">
        <f>AVERAGE(P41:U41)</f>
        <v>35242.500000000007</v>
      </c>
      <c r="W41" s="2"/>
      <c r="X41" s="91" t="s">
        <v>0</v>
      </c>
      <c r="Y41" s="85">
        <f>Y38-(36980.5+(AVERAGE(Y39:AD39)))</f>
        <v>23762.333333333336</v>
      </c>
      <c r="Z41" s="76">
        <f>Z38-(36980.5+(AVERAGE(Y39:AD39)))</f>
        <v>15313.333333333336</v>
      </c>
      <c r="AA41" s="76">
        <f>AA38-(36980.5+(AVERAGE(Y39:AD39)))</f>
        <v>27416.333333333336</v>
      </c>
      <c r="AB41" s="76">
        <f>AB38-(36980.5+(AVERAGE(Y39:AD39)))</f>
        <v>20187.333333333336</v>
      </c>
      <c r="AC41" s="76">
        <f>AC38-(36980.5+(AVERAGE(Y39:AD39)))</f>
        <v>10554.333333333336</v>
      </c>
      <c r="AD41" s="92">
        <f>AD38-(36980.5+(AVERAGE(Y39:AD39)))</f>
        <v>5554.3333333333358</v>
      </c>
      <c r="AE41" s="93">
        <f>AVERAGE(Y41:AD41)</f>
        <v>17131.333333333339</v>
      </c>
      <c r="AF41" s="85">
        <f>AF38-(36980.5+(AVERAGE(AF39:AK39)))</f>
        <v>41887.166666666664</v>
      </c>
      <c r="AG41" s="76">
        <f>AG38-(36980.5+(AVERAGE(AF39:AK39)))</f>
        <v>36724.166666666664</v>
      </c>
      <c r="AH41" s="76">
        <f>AH38-(36980.5+(AVERAGE(AF39:AK39)))</f>
        <v>45906.166666666664</v>
      </c>
      <c r="AI41" s="76">
        <f>AI38-(36980.5+(AVERAGE(AF39:AK39)))</f>
        <v>40673.166666666664</v>
      </c>
      <c r="AJ41" s="76">
        <f>AJ38-(36980.5+(AVERAGE(AF39:AK39)))</f>
        <v>19523.166666666664</v>
      </c>
      <c r="AK41" s="92">
        <f>AK38-(36980.5+(AVERAGE(AF39:AK39)))</f>
        <v>17117.166666666664</v>
      </c>
      <c r="AL41" s="79">
        <f>AVERAGE(AF41:AK41)</f>
        <v>33638.499999999993</v>
      </c>
      <c r="AM41" s="85">
        <f>AM38-(36980.5+(AVERAGE(AM39:AR39)))</f>
        <v>7693.5</v>
      </c>
      <c r="AN41" s="76">
        <f>AN38-(36980.5+(AVERAGE(AM39:AR39)))</f>
        <v>8634.5</v>
      </c>
      <c r="AO41" s="76">
        <f>AO38-(36980.5+(AVERAGE(AM39:AR39)))</f>
        <v>9093.5</v>
      </c>
      <c r="AP41" s="76">
        <f>AP38-(36980.5+(AVERAGE(AM39:AR39)))</f>
        <v>7098.5</v>
      </c>
      <c r="AQ41" s="76">
        <f>AQ38-(36980.5+(AVERAGE(AM39:AR39)))</f>
        <v>7743.5</v>
      </c>
      <c r="AR41" s="92">
        <f>AR38-(36980.5+(AVERAGE(AM39:AR39)))</f>
        <v>7512.5</v>
      </c>
      <c r="AS41" s="79">
        <f>AVERAGE(AM41:AR41)</f>
        <v>7962.666666666667</v>
      </c>
      <c r="AT41" s="48"/>
    </row>
    <row r="42" spans="1:46" ht="15.75" thickBot="1" x14ac:dyDescent="0.3">
      <c r="A42" s="2"/>
      <c r="B42" s="2"/>
      <c r="C42" s="2"/>
      <c r="D42" s="2"/>
      <c r="E42" s="2"/>
      <c r="F42" s="2"/>
      <c r="G42" s="2"/>
      <c r="H42" s="34"/>
      <c r="I42" s="2"/>
      <c r="J42" s="2"/>
      <c r="K42" s="2"/>
      <c r="L42" s="2"/>
      <c r="M42" s="2"/>
      <c r="N42" s="2"/>
      <c r="O42" s="34"/>
      <c r="P42" s="2"/>
      <c r="Q42" s="2"/>
      <c r="R42" s="2"/>
      <c r="S42" s="2"/>
      <c r="T42" s="2"/>
      <c r="U42" s="2"/>
      <c r="V42" s="34"/>
      <c r="W42" s="2"/>
      <c r="X42" s="48"/>
      <c r="Y42" s="48"/>
      <c r="Z42" s="48"/>
      <c r="AA42" s="48"/>
      <c r="AB42" s="48"/>
      <c r="AC42" s="48"/>
      <c r="AD42" s="48"/>
      <c r="AE42" s="80"/>
      <c r="AF42" s="48"/>
      <c r="AG42" s="48"/>
      <c r="AH42" s="48"/>
      <c r="AI42" s="48"/>
      <c r="AJ42" s="48"/>
      <c r="AK42" s="48"/>
      <c r="AL42" s="80"/>
      <c r="AM42" s="48"/>
      <c r="AN42" s="48"/>
      <c r="AO42" s="48"/>
      <c r="AP42" s="48"/>
      <c r="AQ42" s="48"/>
      <c r="AR42" s="48"/>
      <c r="AS42" s="80"/>
      <c r="AT42" s="48"/>
    </row>
    <row r="43" spans="1:46" x14ac:dyDescent="0.25">
      <c r="A43" s="206" t="s">
        <v>7</v>
      </c>
      <c r="B43" s="201" t="s">
        <v>6</v>
      </c>
      <c r="C43" s="202"/>
      <c r="D43" s="202"/>
      <c r="E43" s="202"/>
      <c r="F43" s="202"/>
      <c r="G43" s="203"/>
      <c r="H43" s="35"/>
      <c r="I43" s="201" t="s">
        <v>5</v>
      </c>
      <c r="J43" s="202"/>
      <c r="K43" s="202"/>
      <c r="L43" s="202"/>
      <c r="M43" s="202"/>
      <c r="N43" s="203"/>
      <c r="O43" s="35"/>
      <c r="P43" s="201" t="s">
        <v>4</v>
      </c>
      <c r="Q43" s="202"/>
      <c r="R43" s="202"/>
      <c r="S43" s="202"/>
      <c r="T43" s="202"/>
      <c r="U43" s="203"/>
      <c r="V43" s="35"/>
      <c r="W43" s="2"/>
      <c r="X43" s="192" t="s">
        <v>21</v>
      </c>
      <c r="Y43" s="194" t="s">
        <v>6</v>
      </c>
      <c r="Z43" s="195"/>
      <c r="AA43" s="195"/>
      <c r="AB43" s="195"/>
      <c r="AC43" s="195"/>
      <c r="AD43" s="196"/>
      <c r="AE43" s="81"/>
      <c r="AF43" s="194" t="s">
        <v>5</v>
      </c>
      <c r="AG43" s="195"/>
      <c r="AH43" s="195"/>
      <c r="AI43" s="195"/>
      <c r="AJ43" s="195"/>
      <c r="AK43" s="196"/>
      <c r="AL43" s="81"/>
      <c r="AM43" s="194" t="s">
        <v>4</v>
      </c>
      <c r="AN43" s="195"/>
      <c r="AO43" s="195"/>
      <c r="AP43" s="195"/>
      <c r="AQ43" s="195"/>
      <c r="AR43" s="196"/>
      <c r="AS43" s="81"/>
      <c r="AT43" s="48"/>
    </row>
    <row r="44" spans="1:46" ht="15.75" thickBot="1" x14ac:dyDescent="0.3">
      <c r="A44" s="207"/>
      <c r="B44" s="23">
        <v>1</v>
      </c>
      <c r="C44" s="4">
        <v>2</v>
      </c>
      <c r="D44" s="4">
        <v>3</v>
      </c>
      <c r="E44" s="4">
        <v>4</v>
      </c>
      <c r="F44" s="4">
        <v>5</v>
      </c>
      <c r="G44" s="5">
        <v>6</v>
      </c>
      <c r="H44" s="36"/>
      <c r="I44" s="3">
        <v>1</v>
      </c>
      <c r="J44" s="4">
        <v>2</v>
      </c>
      <c r="K44" s="4">
        <v>3</v>
      </c>
      <c r="L44" s="4">
        <v>4</v>
      </c>
      <c r="M44" s="4">
        <v>5</v>
      </c>
      <c r="N44" s="5">
        <v>6</v>
      </c>
      <c r="O44" s="36"/>
      <c r="P44" s="3">
        <v>1</v>
      </c>
      <c r="Q44" s="4">
        <v>2</v>
      </c>
      <c r="R44" s="4">
        <v>3</v>
      </c>
      <c r="S44" s="4">
        <v>4</v>
      </c>
      <c r="T44" s="4">
        <v>5</v>
      </c>
      <c r="U44" s="6">
        <v>6</v>
      </c>
      <c r="V44" s="36"/>
      <c r="W44" s="2"/>
      <c r="X44" s="193"/>
      <c r="Y44" s="69">
        <v>1</v>
      </c>
      <c r="Z44" s="50">
        <v>2</v>
      </c>
      <c r="AA44" s="50">
        <v>3</v>
      </c>
      <c r="AB44" s="50">
        <v>4</v>
      </c>
      <c r="AC44" s="50">
        <v>5</v>
      </c>
      <c r="AD44" s="51">
        <v>6</v>
      </c>
      <c r="AE44" s="82"/>
      <c r="AF44" s="49">
        <v>1</v>
      </c>
      <c r="AG44" s="50">
        <v>2</v>
      </c>
      <c r="AH44" s="50">
        <v>3</v>
      </c>
      <c r="AI44" s="50">
        <v>4</v>
      </c>
      <c r="AJ44" s="50">
        <v>5</v>
      </c>
      <c r="AK44" s="51">
        <v>6</v>
      </c>
      <c r="AL44" s="82"/>
      <c r="AM44" s="49">
        <v>1</v>
      </c>
      <c r="AN44" s="50">
        <v>2</v>
      </c>
      <c r="AO44" s="50">
        <v>3</v>
      </c>
      <c r="AP44" s="50">
        <v>4</v>
      </c>
      <c r="AQ44" s="50">
        <v>5</v>
      </c>
      <c r="AR44" s="52">
        <v>6</v>
      </c>
      <c r="AS44" s="82"/>
      <c r="AT44" s="48"/>
    </row>
    <row r="45" spans="1:46" x14ac:dyDescent="0.25">
      <c r="A45" s="11" t="s">
        <v>3</v>
      </c>
      <c r="B45" s="8">
        <v>47992</v>
      </c>
      <c r="C45" s="9">
        <v>58385</v>
      </c>
      <c r="D45" s="9">
        <v>60299</v>
      </c>
      <c r="E45" s="9">
        <v>60577</v>
      </c>
      <c r="F45" s="9">
        <v>59860</v>
      </c>
      <c r="G45" s="10">
        <v>64384</v>
      </c>
      <c r="H45" s="11">
        <f>AVERAGE(B45:G45)</f>
        <v>58582.833333333336</v>
      </c>
      <c r="I45" s="12">
        <v>50607</v>
      </c>
      <c r="J45" s="9">
        <v>68831</v>
      </c>
      <c r="K45" s="9">
        <v>75590</v>
      </c>
      <c r="L45" s="9">
        <v>77042</v>
      </c>
      <c r="M45" s="9">
        <v>76856</v>
      </c>
      <c r="N45" s="10">
        <v>65024</v>
      </c>
      <c r="O45" s="11">
        <f>AVERAGE(I45:N45)</f>
        <v>68991.666666666672</v>
      </c>
      <c r="P45" s="12">
        <v>53861</v>
      </c>
      <c r="Q45" s="9">
        <v>66666</v>
      </c>
      <c r="R45" s="9">
        <v>70650</v>
      </c>
      <c r="S45" s="9">
        <v>72084</v>
      </c>
      <c r="T45" s="9">
        <v>69519</v>
      </c>
      <c r="U45" s="13">
        <v>59692</v>
      </c>
      <c r="V45" s="11">
        <f>AVERAGE(P45:U45)</f>
        <v>65412</v>
      </c>
      <c r="W45" s="2"/>
      <c r="X45" s="57" t="s">
        <v>3</v>
      </c>
      <c r="Y45" s="54">
        <v>58501</v>
      </c>
      <c r="Z45" s="55">
        <v>56323</v>
      </c>
      <c r="AA45" s="55">
        <v>54563</v>
      </c>
      <c r="AB45" s="55">
        <v>47386</v>
      </c>
      <c r="AC45" s="55">
        <v>43832</v>
      </c>
      <c r="AD45" s="56">
        <v>43154</v>
      </c>
      <c r="AE45" s="57">
        <f>AVERAGE(Y45:AD45)</f>
        <v>50626.5</v>
      </c>
      <c r="AF45" s="58">
        <v>64300</v>
      </c>
      <c r="AG45" s="55">
        <v>60108</v>
      </c>
      <c r="AH45" s="55">
        <v>55281</v>
      </c>
      <c r="AI45" s="55">
        <v>57466</v>
      </c>
      <c r="AJ45" s="55">
        <v>60708</v>
      </c>
      <c r="AK45" s="56">
        <v>55913</v>
      </c>
      <c r="AL45" s="57">
        <f>AVERAGE(AF45:AK45)</f>
        <v>58962.666666666664</v>
      </c>
      <c r="AM45" s="58">
        <v>44693</v>
      </c>
      <c r="AN45" s="55">
        <v>47285</v>
      </c>
      <c r="AO45" s="55">
        <v>47356</v>
      </c>
      <c r="AP45" s="55">
        <v>41987</v>
      </c>
      <c r="AQ45" s="55">
        <v>40966</v>
      </c>
      <c r="AR45" s="59">
        <v>44371</v>
      </c>
      <c r="AS45" s="57">
        <f>AVERAGE(AM45:AR45)</f>
        <v>44443</v>
      </c>
      <c r="AT45" s="48"/>
    </row>
    <row r="46" spans="1:46" x14ac:dyDescent="0.25">
      <c r="A46" s="26" t="s">
        <v>2</v>
      </c>
      <c r="B46" s="15">
        <v>58</v>
      </c>
      <c r="C46" s="16">
        <v>53</v>
      </c>
      <c r="D46" s="16">
        <v>59</v>
      </c>
      <c r="E46" s="16">
        <v>45</v>
      </c>
      <c r="F46" s="16">
        <v>48</v>
      </c>
      <c r="G46" s="24">
        <v>56</v>
      </c>
      <c r="H46" s="19">
        <f>AVERAGE(B46:G46)</f>
        <v>53.166666666666664</v>
      </c>
      <c r="I46" s="37">
        <v>49</v>
      </c>
      <c r="J46" s="16">
        <v>51</v>
      </c>
      <c r="K46" s="16">
        <v>54</v>
      </c>
      <c r="L46" s="16">
        <v>43</v>
      </c>
      <c r="M46" s="16">
        <v>60</v>
      </c>
      <c r="N46" s="24">
        <v>50</v>
      </c>
      <c r="O46" s="19">
        <f>AVERAGE(I46:N46)</f>
        <v>51.166666666666664</v>
      </c>
      <c r="P46" s="37">
        <v>51</v>
      </c>
      <c r="Q46" s="16">
        <v>57</v>
      </c>
      <c r="R46" s="16">
        <v>48</v>
      </c>
      <c r="S46" s="16">
        <v>60</v>
      </c>
      <c r="T46" s="16">
        <v>48</v>
      </c>
      <c r="U46" s="38">
        <v>60</v>
      </c>
      <c r="V46" s="19">
        <f>AVERAGE(P46:U46)</f>
        <v>54</v>
      </c>
      <c r="W46" s="2"/>
      <c r="X46" s="72" t="s">
        <v>2</v>
      </c>
      <c r="Y46" s="61">
        <v>63</v>
      </c>
      <c r="Z46" s="62">
        <v>74</v>
      </c>
      <c r="AA46" s="62">
        <v>79</v>
      </c>
      <c r="AB46" s="62">
        <v>60</v>
      </c>
      <c r="AC46" s="62">
        <v>69</v>
      </c>
      <c r="AD46" s="70">
        <v>72</v>
      </c>
      <c r="AE46" s="65">
        <f>AVERAGE(Y46:AD46)</f>
        <v>69.5</v>
      </c>
      <c r="AF46" s="83">
        <v>60</v>
      </c>
      <c r="AG46" s="62">
        <v>65</v>
      </c>
      <c r="AH46" s="62">
        <v>59</v>
      </c>
      <c r="AI46" s="62">
        <v>59</v>
      </c>
      <c r="AJ46" s="62">
        <v>63</v>
      </c>
      <c r="AK46" s="70">
        <v>66</v>
      </c>
      <c r="AL46" s="65">
        <f>AVERAGE(AF46:AK46)</f>
        <v>62</v>
      </c>
      <c r="AM46" s="83">
        <v>70</v>
      </c>
      <c r="AN46" s="62">
        <v>60</v>
      </c>
      <c r="AO46" s="62">
        <v>63</v>
      </c>
      <c r="AP46" s="62">
        <v>67</v>
      </c>
      <c r="AQ46" s="62">
        <v>57</v>
      </c>
      <c r="AR46" s="84">
        <v>70</v>
      </c>
      <c r="AS46" s="65">
        <f>AVERAGE(AM46:AR46)</f>
        <v>64.5</v>
      </c>
      <c r="AT46" s="48"/>
    </row>
    <row r="47" spans="1:46" ht="15.75" thickBot="1" x14ac:dyDescent="0.3">
      <c r="A47" s="36" t="s">
        <v>1</v>
      </c>
      <c r="B47" s="23">
        <v>36531</v>
      </c>
      <c r="C47" s="4">
        <v>36287</v>
      </c>
      <c r="D47" s="24"/>
      <c r="E47" s="25"/>
      <c r="F47" s="25"/>
      <c r="G47" s="25"/>
      <c r="H47" s="26"/>
      <c r="I47" s="25"/>
      <c r="J47" s="25"/>
      <c r="K47" s="25"/>
      <c r="L47" s="25"/>
      <c r="M47" s="25"/>
      <c r="N47" s="25"/>
      <c r="O47" s="26"/>
      <c r="P47" s="25"/>
      <c r="Q47" s="25"/>
      <c r="R47" s="25"/>
      <c r="S47" s="25"/>
      <c r="T47" s="25"/>
      <c r="U47" s="27"/>
      <c r="V47" s="26">
        <f>AVERAGE(B47:C47)</f>
        <v>36409</v>
      </c>
      <c r="W47" s="2"/>
      <c r="X47" s="82" t="s">
        <v>1</v>
      </c>
      <c r="Y47" s="69">
        <v>36531</v>
      </c>
      <c r="Z47" s="50">
        <v>36287</v>
      </c>
      <c r="AA47" s="70"/>
      <c r="AB47" s="71"/>
      <c r="AC47" s="71"/>
      <c r="AD47" s="71"/>
      <c r="AE47" s="72"/>
      <c r="AF47" s="71"/>
      <c r="AG47" s="71"/>
      <c r="AH47" s="71"/>
      <c r="AI47" s="71"/>
      <c r="AJ47" s="71"/>
      <c r="AK47" s="71"/>
      <c r="AL47" s="72"/>
      <c r="AM47" s="71"/>
      <c r="AN47" s="71"/>
      <c r="AO47" s="71"/>
      <c r="AP47" s="71"/>
      <c r="AQ47" s="71"/>
      <c r="AR47" s="73"/>
      <c r="AS47" s="72">
        <f>AVERAGE(Y47:Z47)</f>
        <v>36409</v>
      </c>
      <c r="AT47" s="48"/>
    </row>
    <row r="48" spans="1:46" ht="15.75" thickBot="1" x14ac:dyDescent="0.3">
      <c r="A48" s="28" t="s">
        <v>0</v>
      </c>
      <c r="B48" s="39">
        <f>B45-(36409+(AVERAGE(B46:G46)))</f>
        <v>11529.833333333336</v>
      </c>
      <c r="C48" s="30">
        <f>C45-(36409+(AVERAGE(B46:G46)))</f>
        <v>21922.833333333336</v>
      </c>
      <c r="D48" s="30">
        <f>D45-(36409+(AVERAGE(B46:G46)))</f>
        <v>23836.833333333336</v>
      </c>
      <c r="E48" s="30">
        <f>E45-(36409+(AVERAGE(B46:G46)))</f>
        <v>24114.833333333336</v>
      </c>
      <c r="F48" s="30">
        <f>F45-(36409+(AVERAGE(B46:G46)))</f>
        <v>23397.833333333336</v>
      </c>
      <c r="G48" s="40">
        <f>G45-(36409+(AVERAGE(B46:G46)))</f>
        <v>27921.833333333336</v>
      </c>
      <c r="H48" s="33">
        <f>AVERAGE(B48:G48)</f>
        <v>22120.666666666672</v>
      </c>
      <c r="I48" s="39">
        <f>I45-(36409+(AVERAGE(I46:N46)))</f>
        <v>14146.833333333336</v>
      </c>
      <c r="J48" s="30">
        <f>J45-(36409+(AVERAGE(I46:N46)))</f>
        <v>32370.833333333336</v>
      </c>
      <c r="K48" s="30">
        <f>K45-(36409+(AVERAGE(I46:N46)))</f>
        <v>39129.833333333336</v>
      </c>
      <c r="L48" s="30">
        <f>L45-(36409+(AVERAGE(I46:N46)))</f>
        <v>40581.833333333336</v>
      </c>
      <c r="M48" s="30">
        <f>M45-(36409+(AVERAGE(I46:N46)))</f>
        <v>40395.833333333336</v>
      </c>
      <c r="N48" s="40">
        <f>N45-(36409+(AVERAGE(I46:N46)))</f>
        <v>28563.833333333336</v>
      </c>
      <c r="O48" s="33">
        <f>AVERAGE(I48:N48)</f>
        <v>32531.500000000004</v>
      </c>
      <c r="P48" s="39">
        <f>P45-(36409+(AVERAGE(P46:U46)))</f>
        <v>17398</v>
      </c>
      <c r="Q48" s="30">
        <f>Q45-(36409+(AVERAGE(P46:U46)))</f>
        <v>30203</v>
      </c>
      <c r="R48" s="30">
        <f>R45-(36409+(AVERAGE(P46:U46)))</f>
        <v>34187</v>
      </c>
      <c r="S48" s="30">
        <f>S45-(36409+(AVERAGE(P46:U46)))</f>
        <v>35621</v>
      </c>
      <c r="T48" s="30">
        <f>T45-(36409+(AVERAGE(P46:U46)))</f>
        <v>33056</v>
      </c>
      <c r="U48" s="40">
        <f>U45-(36409+(AVERAGE(P46:U46)))</f>
        <v>23229</v>
      </c>
      <c r="V48" s="33">
        <f>AVERAGE(P48:U48)</f>
        <v>28949</v>
      </c>
      <c r="W48" s="2"/>
      <c r="X48" s="74" t="s">
        <v>0</v>
      </c>
      <c r="Y48" s="85">
        <f>Y45-(36409+(AVERAGE(Y46:AD46)))</f>
        <v>22022.5</v>
      </c>
      <c r="Z48" s="76">
        <f>Z45-(36409+(AVERAGE(Y46:AD46)))</f>
        <v>19844.5</v>
      </c>
      <c r="AA48" s="76">
        <f>AA45-(36409+(AVERAGE(Y46:AD46)))</f>
        <v>18084.5</v>
      </c>
      <c r="AB48" s="76">
        <f>AB45-(36409+(AVERAGE(Y46:AD46)))</f>
        <v>10907.5</v>
      </c>
      <c r="AC48" s="76">
        <f>AC45-(36409+(AVERAGE(Y46:AD46)))</f>
        <v>7353.5</v>
      </c>
      <c r="AD48" s="86">
        <f>AD45-(36409+(AVERAGE(Y46:AD46)))</f>
        <v>6675.5</v>
      </c>
      <c r="AE48" s="79">
        <f>AVERAGE(Y48:AD48)</f>
        <v>14148</v>
      </c>
      <c r="AF48" s="85">
        <f>AF45-(36409+(AVERAGE(AF46:AK46)))</f>
        <v>27829</v>
      </c>
      <c r="AG48" s="76">
        <f>AG45-(36409+(AVERAGE(AF46:AK46)))</f>
        <v>23637</v>
      </c>
      <c r="AH48" s="76">
        <f>AH45-(36409+(AVERAGE(AF46:AK46)))</f>
        <v>18810</v>
      </c>
      <c r="AI48" s="76">
        <f>AI45-(36409+(AVERAGE(AF46:AK46)))</f>
        <v>20995</v>
      </c>
      <c r="AJ48" s="76">
        <f>AJ45-(36409+(AVERAGE(AF46:AK46)))</f>
        <v>24237</v>
      </c>
      <c r="AK48" s="86">
        <f>AK45-(36409+(AVERAGE(AF46:AK46)))</f>
        <v>19442</v>
      </c>
      <c r="AL48" s="79">
        <f>AVERAGE(AF48:AK48)</f>
        <v>22491.666666666668</v>
      </c>
      <c r="AM48" s="85">
        <f>AM45-(36409+(AVERAGE(AM46:AR46)))</f>
        <v>8219.5</v>
      </c>
      <c r="AN48" s="76">
        <f>AN45-(36409+(AVERAGE(AM46:AR46)))</f>
        <v>10811.5</v>
      </c>
      <c r="AO48" s="76">
        <f>AO45-(36409+(AVERAGE(AM46:AR46)))</f>
        <v>10882.5</v>
      </c>
      <c r="AP48" s="76">
        <f>AP45-(36409+(AVERAGE(AM46:AR46)))</f>
        <v>5513.5</v>
      </c>
      <c r="AQ48" s="76">
        <f>AQ45-(36409+(AVERAGE(AM46:AR46)))</f>
        <v>4492.5</v>
      </c>
      <c r="AR48" s="86">
        <f>AR45-(36409+(AVERAGE(AM46:AR46)))</f>
        <v>7897.5</v>
      </c>
      <c r="AS48" s="79">
        <f>AVERAGE(AM48:AR48)</f>
        <v>7969.5</v>
      </c>
      <c r="AT48" s="48"/>
    </row>
    <row r="49" spans="1:46" x14ac:dyDescent="0.25">
      <c r="A49" s="2"/>
      <c r="B49" s="2"/>
      <c r="C49" s="2"/>
      <c r="D49" s="2"/>
      <c r="E49" s="2"/>
      <c r="F49" s="2"/>
      <c r="G49" s="2"/>
      <c r="H49" s="34"/>
      <c r="I49" s="2"/>
      <c r="J49" s="2"/>
      <c r="K49" s="2"/>
      <c r="L49" s="2"/>
      <c r="M49" s="2"/>
      <c r="N49" s="2"/>
      <c r="O49" s="34"/>
      <c r="P49" s="2"/>
      <c r="Q49" s="2"/>
      <c r="R49" s="2"/>
      <c r="S49" s="2"/>
      <c r="T49" s="2"/>
      <c r="U49" s="2"/>
      <c r="V49" s="34"/>
      <c r="W49" s="2"/>
      <c r="X49" s="48"/>
      <c r="Y49" s="48"/>
      <c r="Z49" s="48"/>
      <c r="AA49" s="48"/>
      <c r="AB49" s="48"/>
      <c r="AC49" s="48"/>
      <c r="AD49" s="48"/>
      <c r="AE49" s="80"/>
      <c r="AF49" s="48"/>
      <c r="AG49" s="48"/>
      <c r="AH49" s="48"/>
      <c r="AI49" s="48"/>
      <c r="AJ49" s="48"/>
      <c r="AK49" s="48"/>
      <c r="AL49" s="80"/>
      <c r="AM49" s="48"/>
      <c r="AN49" s="48"/>
      <c r="AO49" s="48"/>
      <c r="AP49" s="48"/>
      <c r="AQ49" s="48"/>
      <c r="AR49" s="48"/>
      <c r="AS49" s="80"/>
      <c r="AT49" s="48"/>
    </row>
    <row r="50" spans="1:46" x14ac:dyDescent="0.25">
      <c r="A50" s="2"/>
      <c r="B50" s="2"/>
      <c r="C50" s="2"/>
      <c r="D50" s="2"/>
      <c r="E50" s="2"/>
      <c r="F50" s="2"/>
      <c r="G50" s="2"/>
      <c r="H50" s="34"/>
      <c r="I50" s="2"/>
      <c r="J50" s="2"/>
      <c r="K50" s="2"/>
      <c r="L50" s="2"/>
      <c r="M50" s="2"/>
      <c r="N50" s="2"/>
      <c r="O50" s="34"/>
      <c r="P50" s="2"/>
      <c r="Q50" s="2"/>
      <c r="R50" s="2"/>
      <c r="S50" s="2"/>
      <c r="T50" s="2"/>
      <c r="U50" s="2"/>
      <c r="V50" s="34"/>
      <c r="W50" s="2"/>
      <c r="X50" s="48"/>
      <c r="Y50" s="48"/>
      <c r="Z50" s="48"/>
      <c r="AA50" s="48"/>
      <c r="AB50" s="48"/>
      <c r="AC50" s="48"/>
      <c r="AD50" s="48"/>
      <c r="AE50" s="80"/>
      <c r="AF50" s="48"/>
      <c r="AG50" s="48"/>
      <c r="AH50" s="48"/>
      <c r="AI50" s="48"/>
      <c r="AJ50" s="48"/>
      <c r="AK50" s="48"/>
      <c r="AL50" s="80"/>
      <c r="AM50" s="48"/>
      <c r="AN50" s="48"/>
      <c r="AO50" s="48"/>
      <c r="AP50" s="48"/>
      <c r="AQ50" s="48"/>
      <c r="AR50" s="48"/>
      <c r="AS50" s="80"/>
      <c r="AT50" s="48"/>
    </row>
    <row r="51" spans="1:46" x14ac:dyDescent="0.25">
      <c r="X51" s="48"/>
      <c r="Y51" s="48"/>
      <c r="Z51" s="48"/>
      <c r="AA51" s="48"/>
      <c r="AB51" s="48"/>
      <c r="AC51" s="48"/>
      <c r="AD51" s="48"/>
      <c r="AE51" s="80"/>
      <c r="AF51" s="48"/>
      <c r="AG51" s="48"/>
      <c r="AH51" s="48"/>
      <c r="AI51" s="48"/>
      <c r="AJ51" s="48"/>
      <c r="AK51" s="48"/>
      <c r="AL51" s="80"/>
      <c r="AM51" s="48"/>
      <c r="AN51" s="48"/>
      <c r="AO51" s="48"/>
      <c r="AP51" s="48"/>
      <c r="AQ51" s="48"/>
      <c r="AR51" s="48"/>
      <c r="AS51" s="80"/>
      <c r="AT51" s="48"/>
    </row>
  </sheetData>
  <mergeCells count="62">
    <mergeCell ref="V1:V2"/>
    <mergeCell ref="A43:A44"/>
    <mergeCell ref="B43:G43"/>
    <mergeCell ref="I43:N43"/>
    <mergeCell ref="P43:U43"/>
    <mergeCell ref="H1:H2"/>
    <mergeCell ref="O1:O2"/>
    <mergeCell ref="A29:A30"/>
    <mergeCell ref="B29:G29"/>
    <mergeCell ref="I29:N29"/>
    <mergeCell ref="A15:A16"/>
    <mergeCell ref="B15:G15"/>
    <mergeCell ref="I15:N15"/>
    <mergeCell ref="P15:U15"/>
    <mergeCell ref="A22:A23"/>
    <mergeCell ref="P29:U29"/>
    <mergeCell ref="A36:A37"/>
    <mergeCell ref="B36:G36"/>
    <mergeCell ref="I36:N36"/>
    <mergeCell ref="P36:U36"/>
    <mergeCell ref="A1:A2"/>
    <mergeCell ref="I1:N1"/>
    <mergeCell ref="P1:U1"/>
    <mergeCell ref="A8:A9"/>
    <mergeCell ref="B8:G8"/>
    <mergeCell ref="I8:N8"/>
    <mergeCell ref="P8:U8"/>
    <mergeCell ref="B22:G22"/>
    <mergeCell ref="I22:N22"/>
    <mergeCell ref="P22:U22"/>
    <mergeCell ref="B1:G1"/>
    <mergeCell ref="X8:X9"/>
    <mergeCell ref="Y8:AD8"/>
    <mergeCell ref="AF8:AK8"/>
    <mergeCell ref="AM8:AR8"/>
    <mergeCell ref="X1:X2"/>
    <mergeCell ref="Y1:AD1"/>
    <mergeCell ref="AE1:AE2"/>
    <mergeCell ref="AF1:AK1"/>
    <mergeCell ref="AL1:AL2"/>
    <mergeCell ref="AM1:AR1"/>
    <mergeCell ref="AS1:AS2"/>
    <mergeCell ref="AF15:AK15"/>
    <mergeCell ref="AM15:AR15"/>
    <mergeCell ref="X22:X23"/>
    <mergeCell ref="Y22:AD22"/>
    <mergeCell ref="AF22:AK22"/>
    <mergeCell ref="AM22:AR22"/>
    <mergeCell ref="X15:X16"/>
    <mergeCell ref="Y15:AD15"/>
    <mergeCell ref="X43:X44"/>
    <mergeCell ref="Y43:AD43"/>
    <mergeCell ref="AF43:AK43"/>
    <mergeCell ref="AM43:AR43"/>
    <mergeCell ref="AF29:AK29"/>
    <mergeCell ref="AM29:AR29"/>
    <mergeCell ref="X36:X37"/>
    <mergeCell ref="Y36:AD36"/>
    <mergeCell ref="AF36:AK36"/>
    <mergeCell ref="AM36:AR36"/>
    <mergeCell ref="X29:X30"/>
    <mergeCell ref="Y29:AD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926F6-1A15-409E-861B-B103A79C50BC}">
  <dimension ref="A1:AT52"/>
  <sheetViews>
    <sheetView tabSelected="1" topLeftCell="A15" workbookViewId="0">
      <selection activeCell="I14" sqref="I14"/>
    </sheetView>
  </sheetViews>
  <sheetFormatPr defaultRowHeight="15" x14ac:dyDescent="0.25"/>
  <cols>
    <col min="1" max="1" width="21.140625" customWidth="1"/>
    <col min="4" max="4" width="11" bestFit="1" customWidth="1"/>
    <col min="8" max="8" width="9.140625" style="1"/>
    <col min="9" max="9" width="11" bestFit="1" customWidth="1"/>
    <col min="15" max="15" width="9.140625" style="1"/>
    <col min="16" max="16" width="11" bestFit="1" customWidth="1"/>
    <col min="22" max="22" width="9.140625" style="1"/>
    <col min="24" max="24" width="17.42578125" customWidth="1"/>
  </cols>
  <sheetData>
    <row r="1" spans="1:46" x14ac:dyDescent="0.25">
      <c r="A1" s="213" t="s">
        <v>22</v>
      </c>
      <c r="B1" s="226" t="s">
        <v>6</v>
      </c>
      <c r="C1" s="216"/>
      <c r="D1" s="216"/>
      <c r="E1" s="216"/>
      <c r="F1" s="216"/>
      <c r="G1" s="227"/>
      <c r="H1" s="222" t="s">
        <v>13</v>
      </c>
      <c r="I1" s="215" t="s">
        <v>5</v>
      </c>
      <c r="J1" s="216"/>
      <c r="K1" s="216"/>
      <c r="L1" s="216"/>
      <c r="M1" s="216"/>
      <c r="N1" s="227"/>
      <c r="O1" s="222" t="s">
        <v>13</v>
      </c>
      <c r="P1" s="215" t="s">
        <v>4</v>
      </c>
      <c r="Q1" s="216"/>
      <c r="R1" s="216"/>
      <c r="S1" s="216"/>
      <c r="T1" s="216"/>
      <c r="U1" s="217"/>
      <c r="V1" s="222" t="s">
        <v>13</v>
      </c>
      <c r="W1" s="101"/>
      <c r="X1" s="218" t="s">
        <v>29</v>
      </c>
      <c r="Y1" s="224" t="s">
        <v>6</v>
      </c>
      <c r="Z1" s="211"/>
      <c r="AA1" s="211"/>
      <c r="AB1" s="211"/>
      <c r="AC1" s="211"/>
      <c r="AD1" s="225"/>
      <c r="AE1" s="220" t="s">
        <v>13</v>
      </c>
      <c r="AF1" s="210" t="s">
        <v>5</v>
      </c>
      <c r="AG1" s="211"/>
      <c r="AH1" s="211"/>
      <c r="AI1" s="211"/>
      <c r="AJ1" s="211"/>
      <c r="AK1" s="225"/>
      <c r="AL1" s="220" t="s">
        <v>13</v>
      </c>
      <c r="AM1" s="210" t="s">
        <v>4</v>
      </c>
      <c r="AN1" s="211"/>
      <c r="AO1" s="211"/>
      <c r="AP1" s="211"/>
      <c r="AQ1" s="211"/>
      <c r="AR1" s="212"/>
      <c r="AS1" s="220" t="s">
        <v>13</v>
      </c>
      <c r="AT1" s="99"/>
    </row>
    <row r="2" spans="1:46" ht="15.75" thickBot="1" x14ac:dyDescent="0.3">
      <c r="A2" s="214"/>
      <c r="B2" s="102">
        <v>1</v>
      </c>
      <c r="C2" s="103">
        <v>2</v>
      </c>
      <c r="D2" s="103">
        <v>3</v>
      </c>
      <c r="E2" s="103">
        <v>4</v>
      </c>
      <c r="F2" s="103">
        <v>5</v>
      </c>
      <c r="G2" s="104">
        <v>6</v>
      </c>
      <c r="H2" s="223"/>
      <c r="I2" s="102">
        <v>1</v>
      </c>
      <c r="J2" s="103">
        <v>2</v>
      </c>
      <c r="K2" s="103">
        <v>3</v>
      </c>
      <c r="L2" s="103">
        <v>4</v>
      </c>
      <c r="M2" s="103">
        <v>5</v>
      </c>
      <c r="N2" s="104">
        <v>6</v>
      </c>
      <c r="O2" s="223"/>
      <c r="P2" s="102">
        <v>1</v>
      </c>
      <c r="Q2" s="103">
        <v>2</v>
      </c>
      <c r="R2" s="103">
        <v>3</v>
      </c>
      <c r="S2" s="103">
        <v>4</v>
      </c>
      <c r="T2" s="103">
        <v>5</v>
      </c>
      <c r="U2" s="105">
        <v>6</v>
      </c>
      <c r="V2" s="223"/>
      <c r="W2" s="101"/>
      <c r="X2" s="219"/>
      <c r="Y2" s="146">
        <v>1</v>
      </c>
      <c r="Z2" s="147">
        <v>2</v>
      </c>
      <c r="AA2" s="147">
        <v>3</v>
      </c>
      <c r="AB2" s="147">
        <v>4</v>
      </c>
      <c r="AC2" s="147">
        <v>5</v>
      </c>
      <c r="AD2" s="148">
        <v>6</v>
      </c>
      <c r="AE2" s="221"/>
      <c r="AF2" s="146">
        <v>1</v>
      </c>
      <c r="AG2" s="147">
        <v>2</v>
      </c>
      <c r="AH2" s="147">
        <v>3</v>
      </c>
      <c r="AI2" s="147">
        <v>4</v>
      </c>
      <c r="AJ2" s="147">
        <v>5</v>
      </c>
      <c r="AK2" s="148">
        <v>6</v>
      </c>
      <c r="AL2" s="221"/>
      <c r="AM2" s="146">
        <v>1</v>
      </c>
      <c r="AN2" s="147">
        <v>2</v>
      </c>
      <c r="AO2" s="147">
        <v>3</v>
      </c>
      <c r="AP2" s="147">
        <v>4</v>
      </c>
      <c r="AQ2" s="147">
        <v>5</v>
      </c>
      <c r="AR2" s="149">
        <v>6</v>
      </c>
      <c r="AS2" s="221"/>
      <c r="AT2" s="99"/>
    </row>
    <row r="3" spans="1:46" x14ac:dyDescent="0.25">
      <c r="A3" s="106" t="s">
        <v>3</v>
      </c>
      <c r="B3" s="107">
        <v>32230</v>
      </c>
      <c r="C3" s="108">
        <v>12438</v>
      </c>
      <c r="D3" s="108">
        <v>17926</v>
      </c>
      <c r="E3" s="108">
        <v>17812</v>
      </c>
      <c r="F3" s="108">
        <v>17627</v>
      </c>
      <c r="G3" s="109">
        <v>13838</v>
      </c>
      <c r="H3" s="110">
        <f>AVERAGE(B3:G3)</f>
        <v>18645.166666666668</v>
      </c>
      <c r="I3" s="111">
        <v>8293</v>
      </c>
      <c r="J3" s="108">
        <v>12496</v>
      </c>
      <c r="K3" s="108">
        <v>13787</v>
      </c>
      <c r="L3" s="108">
        <v>14176</v>
      </c>
      <c r="M3" s="108">
        <v>12902</v>
      </c>
      <c r="N3" s="112">
        <v>21576</v>
      </c>
      <c r="O3" s="113">
        <f>AVERAGE(I3:N3)</f>
        <v>13871.666666666666</v>
      </c>
      <c r="P3" s="111">
        <v>13022</v>
      </c>
      <c r="Q3" s="108">
        <v>16638</v>
      </c>
      <c r="R3" s="108">
        <v>14892</v>
      </c>
      <c r="S3" s="108">
        <v>12337</v>
      </c>
      <c r="T3" s="108">
        <v>15769</v>
      </c>
      <c r="U3" s="109">
        <v>24695</v>
      </c>
      <c r="V3" s="113">
        <f>AVERAGE(P3:U3)</f>
        <v>16225.5</v>
      </c>
      <c r="W3" s="101"/>
      <c r="X3" s="150" t="s">
        <v>3</v>
      </c>
      <c r="Y3" s="151">
        <v>12473</v>
      </c>
      <c r="Z3" s="152">
        <v>10144</v>
      </c>
      <c r="AA3" s="152">
        <v>10832</v>
      </c>
      <c r="AB3" s="152">
        <v>11565</v>
      </c>
      <c r="AC3" s="152">
        <v>10745</v>
      </c>
      <c r="AD3" s="153">
        <v>7854</v>
      </c>
      <c r="AE3" s="154">
        <f>AVERAGE(Y3:AD3)</f>
        <v>10602.166666666666</v>
      </c>
      <c r="AF3" s="155">
        <v>10806</v>
      </c>
      <c r="AG3" s="152">
        <v>10029</v>
      </c>
      <c r="AH3" s="152">
        <v>11929</v>
      </c>
      <c r="AI3" s="152">
        <v>12490</v>
      </c>
      <c r="AJ3" s="152">
        <v>12924</v>
      </c>
      <c r="AK3" s="156">
        <v>8466</v>
      </c>
      <c r="AL3" s="157">
        <f>AVERAGE(AF3:AK3)</f>
        <v>11107.333333333334</v>
      </c>
      <c r="AM3" s="155">
        <v>11581</v>
      </c>
      <c r="AN3" s="152">
        <v>10893</v>
      </c>
      <c r="AO3" s="152">
        <v>12255</v>
      </c>
      <c r="AP3" s="152">
        <v>9925</v>
      </c>
      <c r="AQ3" s="152">
        <v>9787</v>
      </c>
      <c r="AR3" s="153">
        <v>9711</v>
      </c>
      <c r="AS3" s="157">
        <f>AVERAGE(AM3:AR3)</f>
        <v>10692</v>
      </c>
      <c r="AT3" s="99"/>
    </row>
    <row r="4" spans="1:46" x14ac:dyDescent="0.25">
      <c r="A4" s="114" t="s">
        <v>2</v>
      </c>
      <c r="B4" s="115">
        <v>69</v>
      </c>
      <c r="C4" s="116">
        <v>65</v>
      </c>
      <c r="D4" s="117">
        <v>75</v>
      </c>
      <c r="E4" s="117">
        <v>70</v>
      </c>
      <c r="F4" s="117">
        <v>71</v>
      </c>
      <c r="G4" s="118">
        <v>68</v>
      </c>
      <c r="H4" s="119">
        <f>AVERAGE(B4:G4)</f>
        <v>69.666666666666671</v>
      </c>
      <c r="I4" s="120">
        <v>74</v>
      </c>
      <c r="J4" s="117">
        <v>73</v>
      </c>
      <c r="K4" s="117">
        <v>73</v>
      </c>
      <c r="L4" s="117">
        <v>76</v>
      </c>
      <c r="M4" s="117">
        <v>71</v>
      </c>
      <c r="N4" s="121">
        <v>70</v>
      </c>
      <c r="O4" s="122">
        <f>AVERAGE(I4:N4)</f>
        <v>72.833333333333329</v>
      </c>
      <c r="P4" s="120">
        <v>79</v>
      </c>
      <c r="Q4" s="117">
        <v>80</v>
      </c>
      <c r="R4" s="117">
        <v>77</v>
      </c>
      <c r="S4" s="117">
        <v>77</v>
      </c>
      <c r="T4" s="117">
        <v>72</v>
      </c>
      <c r="U4" s="118">
        <v>72</v>
      </c>
      <c r="V4" s="122">
        <f>AVERAGE(P4:U4)</f>
        <v>76.166666666666671</v>
      </c>
      <c r="W4" s="101"/>
      <c r="X4" s="158" t="s">
        <v>2</v>
      </c>
      <c r="Y4" s="159">
        <v>69</v>
      </c>
      <c r="Z4" s="160">
        <v>70</v>
      </c>
      <c r="AA4" s="161">
        <v>74</v>
      </c>
      <c r="AB4" s="161">
        <v>81</v>
      </c>
      <c r="AC4" s="161">
        <v>78</v>
      </c>
      <c r="AD4" s="162">
        <v>86</v>
      </c>
      <c r="AE4" s="163">
        <f>AVERAGE(Y4:AD4)</f>
        <v>76.333333333333329</v>
      </c>
      <c r="AF4" s="164">
        <v>78</v>
      </c>
      <c r="AG4" s="161">
        <v>77</v>
      </c>
      <c r="AH4" s="161">
        <v>75</v>
      </c>
      <c r="AI4" s="161">
        <v>69</v>
      </c>
      <c r="AJ4" s="161">
        <v>69</v>
      </c>
      <c r="AK4" s="165">
        <v>75</v>
      </c>
      <c r="AL4" s="166">
        <f>AVERAGE(AF4:AK4)</f>
        <v>73.833333333333329</v>
      </c>
      <c r="AM4" s="164">
        <v>78</v>
      </c>
      <c r="AN4" s="161">
        <v>80</v>
      </c>
      <c r="AO4" s="161">
        <v>77</v>
      </c>
      <c r="AP4" s="161">
        <v>74</v>
      </c>
      <c r="AQ4" s="161">
        <v>76</v>
      </c>
      <c r="AR4" s="162">
        <v>73</v>
      </c>
      <c r="AS4" s="166">
        <f>AVERAGE(AM4:AR4)</f>
        <v>76.333333333333329</v>
      </c>
      <c r="AT4" s="99"/>
    </row>
    <row r="5" spans="1:46" ht="15.75" thickBot="1" x14ac:dyDescent="0.3">
      <c r="A5" s="123" t="s">
        <v>1</v>
      </c>
      <c r="B5" s="124">
        <v>3587</v>
      </c>
      <c r="C5" s="117">
        <v>3616</v>
      </c>
      <c r="D5" s="117">
        <v>3593</v>
      </c>
      <c r="E5" s="117">
        <v>3544</v>
      </c>
      <c r="F5" s="117">
        <v>3593</v>
      </c>
      <c r="G5" s="118">
        <v>3650</v>
      </c>
      <c r="H5" s="119"/>
      <c r="I5" s="125"/>
      <c r="J5" s="125"/>
      <c r="K5" s="125"/>
      <c r="L5" s="125"/>
      <c r="M5" s="125"/>
      <c r="N5" s="125"/>
      <c r="O5" s="122"/>
      <c r="P5" s="125"/>
      <c r="Q5" s="125"/>
      <c r="R5" s="125"/>
      <c r="S5" s="125"/>
      <c r="T5" s="125"/>
      <c r="U5" s="119"/>
      <c r="V5" s="126">
        <f>AVERAGE(B5:G5)</f>
        <v>3597.1666666666665</v>
      </c>
      <c r="W5" s="101"/>
      <c r="X5" s="167" t="s">
        <v>1</v>
      </c>
      <c r="Y5" s="168">
        <v>3587</v>
      </c>
      <c r="Z5" s="161">
        <v>3616</v>
      </c>
      <c r="AA5" s="161">
        <v>3593</v>
      </c>
      <c r="AB5" s="161">
        <v>3544</v>
      </c>
      <c r="AC5" s="161">
        <v>3593</v>
      </c>
      <c r="AD5" s="162">
        <v>3650</v>
      </c>
      <c r="AE5" s="163"/>
      <c r="AF5" s="169"/>
      <c r="AG5" s="169"/>
      <c r="AH5" s="169"/>
      <c r="AI5" s="169"/>
      <c r="AJ5" s="169"/>
      <c r="AK5" s="169"/>
      <c r="AL5" s="166"/>
      <c r="AM5" s="169"/>
      <c r="AN5" s="169"/>
      <c r="AO5" s="169"/>
      <c r="AP5" s="169"/>
      <c r="AQ5" s="169"/>
      <c r="AR5" s="163"/>
      <c r="AS5" s="170">
        <f>AVERAGE(Y5:AD5)</f>
        <v>3597.1666666666665</v>
      </c>
      <c r="AT5" s="99"/>
    </row>
    <row r="6" spans="1:46" ht="15.75" thickBot="1" x14ac:dyDescent="0.3">
      <c r="A6" s="127" t="s">
        <v>0</v>
      </c>
      <c r="B6" s="128">
        <f>B3-(3597.167+(AVERAGE(B4:G4)))</f>
        <v>28563.166333333334</v>
      </c>
      <c r="C6" s="129">
        <f>C3-(3597.167+(AVERAGE(B4:G4)))</f>
        <v>8771.1663333333345</v>
      </c>
      <c r="D6" s="129">
        <f>D3-(3597.167+(AVERAGE(B4:G4)))</f>
        <v>14259.166333333334</v>
      </c>
      <c r="E6" s="129">
        <f>E3-(3597.167+(AVERAGE(B4:G4)))</f>
        <v>14145.166333333334</v>
      </c>
      <c r="F6" s="129">
        <f>F3-(3597.167+(AVERAGE(B4:G4)))</f>
        <v>13960.166333333334</v>
      </c>
      <c r="G6" s="130">
        <f>G3-(3597.167+(AVERAGE(B4:G4)))</f>
        <v>10171.166333333334</v>
      </c>
      <c r="H6" s="131">
        <f>AVERAGE(B6:G6)</f>
        <v>14978.332999999999</v>
      </c>
      <c r="I6" s="132">
        <f>I3-(3597.167+(AVERAGE(I4:N4)))</f>
        <v>4622.9996666666666</v>
      </c>
      <c r="J6" s="129">
        <f>J3-(3597.167+(AVERAGE(I4:N4)))</f>
        <v>8825.9996666666666</v>
      </c>
      <c r="K6" s="129">
        <f>K3-(3597.167+(AVERAGE(I4:N4)))</f>
        <v>10116.999666666667</v>
      </c>
      <c r="L6" s="129">
        <f>L3-(3597.167+(AVERAGE(I4:N4)))</f>
        <v>10505.999666666667</v>
      </c>
      <c r="M6" s="129">
        <f>M3-(3597.167+(AVERAGE(I4:N4)))</f>
        <v>9231.9996666666666</v>
      </c>
      <c r="N6" s="130">
        <f>N3-(3597.167+(AVERAGE(I4:N4)))</f>
        <v>17905.999666666667</v>
      </c>
      <c r="O6" s="131">
        <f>AVERAGE(I6:N6)</f>
        <v>10201.666333333334</v>
      </c>
      <c r="P6" s="132">
        <f>P3-(3597.167+(AVERAGE(P4:U4)))</f>
        <v>9348.6663333333345</v>
      </c>
      <c r="Q6" s="129">
        <f>Q3-(3597.167+(AVERAGE(P4:U4)))</f>
        <v>12964.666333333334</v>
      </c>
      <c r="R6" s="129">
        <f>R3-(3597.167+(AVERAGE(P4:U4)))</f>
        <v>11218.666333333334</v>
      </c>
      <c r="S6" s="129">
        <f>S3-(3597.167+(AVERAGE(P4:U4)))</f>
        <v>8663.6663333333345</v>
      </c>
      <c r="T6" s="129">
        <f>T3-(3597.167+(AVERAGE(P4:U4)))</f>
        <v>12095.666333333334</v>
      </c>
      <c r="U6" s="133">
        <f>U3-(3597.167+(AVERAGE(P4:U4)))</f>
        <v>21021.666333333334</v>
      </c>
      <c r="V6" s="134">
        <f>AVERAGE(P6:U6)</f>
        <v>12552.166333333334</v>
      </c>
      <c r="W6" s="101"/>
      <c r="X6" s="171" t="s">
        <v>0</v>
      </c>
      <c r="Y6" s="172">
        <f>Y3-(3597.167+(AVERAGE(Y4:AD4)))</f>
        <v>8799.4996666666666</v>
      </c>
      <c r="Z6" s="173">
        <f>Z3-(3597.167+(AVERAGE(Y4:AD4)))</f>
        <v>6470.4996666666666</v>
      </c>
      <c r="AA6" s="173">
        <f>AA3-(3597.167+(AVERAGE(Y4:AD4)))</f>
        <v>7158.4996666666666</v>
      </c>
      <c r="AB6" s="173">
        <f>AB3-(3597.167+(AVERAGE(Y4:AD4)))</f>
        <v>7891.4996666666666</v>
      </c>
      <c r="AC6" s="173">
        <f>AC3-(3597.167+(AVERAGE(Y4:AD4)))</f>
        <v>7071.4996666666666</v>
      </c>
      <c r="AD6" s="174">
        <f>AD3-(3597.167+(AVERAGE(Y4:AD4)))</f>
        <v>4180.4996666666666</v>
      </c>
      <c r="AE6" s="175">
        <f>AVERAGE(Y6:AD6)</f>
        <v>6928.6663333333345</v>
      </c>
      <c r="AF6" s="176">
        <f>AF3-(3597.167+(AVERAGE(AF4:AK4)))</f>
        <v>7134.9996666666666</v>
      </c>
      <c r="AG6" s="173">
        <f>AG3-(3597.167+(AVERAGE(AF4:AK4)))</f>
        <v>6357.9996666666666</v>
      </c>
      <c r="AH6" s="173">
        <f>AH3-(3597.167+(AVERAGE(AF4:AK4)))</f>
        <v>8257.9996666666666</v>
      </c>
      <c r="AI6" s="173">
        <f>AI3-(3597.167+(AVERAGE(AF4:AK4)))</f>
        <v>8818.9996666666666</v>
      </c>
      <c r="AJ6" s="173">
        <f>AJ3-(3597.167+(AVERAGE(AF4:AK4)))</f>
        <v>9252.9996666666666</v>
      </c>
      <c r="AK6" s="174">
        <f>AK3-(3597.167+(AVERAGE(AF4:AK4)))</f>
        <v>4794.9996666666666</v>
      </c>
      <c r="AL6" s="175">
        <f>AVERAGE(AF6:AK6)</f>
        <v>7436.3330000000014</v>
      </c>
      <c r="AM6" s="176">
        <f>AM3-(3597.167+(AVERAGE(AM4:AR4)))</f>
        <v>7907.4996666666666</v>
      </c>
      <c r="AN6" s="173">
        <f>AN3-(3597.167+(AVERAGE(AM4:AR4)))</f>
        <v>7219.4996666666666</v>
      </c>
      <c r="AO6" s="173">
        <f>AO3-(3597.167+(AVERAGE(AM4:AR4)))</f>
        <v>8581.4996666666666</v>
      </c>
      <c r="AP6" s="173">
        <f>AP3-(3597.167+(AVERAGE(AM4:AR4)))</f>
        <v>6251.4996666666666</v>
      </c>
      <c r="AQ6" s="173">
        <f>AQ3-(3597.167+(AVERAGE(AM4:AR4)))</f>
        <v>6113.4996666666666</v>
      </c>
      <c r="AR6" s="177">
        <f>AR3-(3597.167+(AVERAGE(AM4:AR4)))</f>
        <v>6037.4996666666666</v>
      </c>
      <c r="AS6" s="178">
        <f>AVERAGE(AM6:AR6)</f>
        <v>7018.4996666666675</v>
      </c>
      <c r="AT6" s="99"/>
    </row>
    <row r="7" spans="1:46" ht="15.75" thickBot="1" x14ac:dyDescent="0.3">
      <c r="A7" s="101"/>
      <c r="B7" s="101"/>
      <c r="C7" s="101"/>
      <c r="D7" s="101"/>
      <c r="E7" s="101"/>
      <c r="F7" s="101"/>
      <c r="G7" s="101"/>
      <c r="H7" s="135"/>
      <c r="I7" s="101"/>
      <c r="J7" s="101"/>
      <c r="K7" s="101"/>
      <c r="L7" s="101"/>
      <c r="M7" s="101"/>
      <c r="N7" s="101"/>
      <c r="O7" s="135"/>
      <c r="P7" s="101"/>
      <c r="Q7" s="101"/>
      <c r="R7" s="101"/>
      <c r="S7" s="101"/>
      <c r="T7" s="101"/>
      <c r="U7" s="101"/>
      <c r="V7" s="135"/>
      <c r="W7" s="101"/>
      <c r="X7" s="179"/>
      <c r="Y7" s="179"/>
      <c r="Z7" s="179"/>
      <c r="AA7" s="179"/>
      <c r="AB7" s="179"/>
      <c r="AC7" s="179"/>
      <c r="AD7" s="179"/>
      <c r="AE7" s="180"/>
      <c r="AF7" s="179"/>
      <c r="AG7" s="179"/>
      <c r="AH7" s="179"/>
      <c r="AI7" s="179"/>
      <c r="AJ7" s="179"/>
      <c r="AK7" s="179"/>
      <c r="AL7" s="180"/>
      <c r="AM7" s="179"/>
      <c r="AN7" s="179"/>
      <c r="AO7" s="179"/>
      <c r="AP7" s="179"/>
      <c r="AQ7" s="179"/>
      <c r="AR7" s="179"/>
      <c r="AS7" s="180"/>
      <c r="AT7" s="99"/>
    </row>
    <row r="8" spans="1:46" x14ac:dyDescent="0.25">
      <c r="A8" s="213" t="s">
        <v>23</v>
      </c>
      <c r="B8" s="215" t="s">
        <v>6</v>
      </c>
      <c r="C8" s="216"/>
      <c r="D8" s="216"/>
      <c r="E8" s="216"/>
      <c r="F8" s="216"/>
      <c r="G8" s="217"/>
      <c r="H8" s="136"/>
      <c r="I8" s="215" t="s">
        <v>5</v>
      </c>
      <c r="J8" s="216"/>
      <c r="K8" s="216"/>
      <c r="L8" s="216"/>
      <c r="M8" s="216"/>
      <c r="N8" s="217"/>
      <c r="O8" s="136"/>
      <c r="P8" s="215" t="s">
        <v>4</v>
      </c>
      <c r="Q8" s="216"/>
      <c r="R8" s="216"/>
      <c r="S8" s="216"/>
      <c r="T8" s="216"/>
      <c r="U8" s="217"/>
      <c r="V8" s="136"/>
      <c r="W8" s="101"/>
      <c r="X8" s="218" t="s">
        <v>30</v>
      </c>
      <c r="Y8" s="210" t="s">
        <v>6</v>
      </c>
      <c r="Z8" s="211"/>
      <c r="AA8" s="211"/>
      <c r="AB8" s="211"/>
      <c r="AC8" s="211"/>
      <c r="AD8" s="212"/>
      <c r="AE8" s="181"/>
      <c r="AF8" s="210" t="s">
        <v>5</v>
      </c>
      <c r="AG8" s="211"/>
      <c r="AH8" s="211"/>
      <c r="AI8" s="211"/>
      <c r="AJ8" s="211"/>
      <c r="AK8" s="212"/>
      <c r="AL8" s="181"/>
      <c r="AM8" s="210" t="s">
        <v>4</v>
      </c>
      <c r="AN8" s="211"/>
      <c r="AO8" s="211"/>
      <c r="AP8" s="211"/>
      <c r="AQ8" s="211"/>
      <c r="AR8" s="212"/>
      <c r="AS8" s="181"/>
      <c r="AT8" s="99"/>
    </row>
    <row r="9" spans="1:46" ht="15.75" thickBot="1" x14ac:dyDescent="0.3">
      <c r="A9" s="214"/>
      <c r="B9" s="137">
        <v>1</v>
      </c>
      <c r="C9" s="103">
        <v>2</v>
      </c>
      <c r="D9" s="103">
        <v>3</v>
      </c>
      <c r="E9" s="103">
        <v>4</v>
      </c>
      <c r="F9" s="103">
        <v>5</v>
      </c>
      <c r="G9" s="104">
        <v>6</v>
      </c>
      <c r="H9" s="138"/>
      <c r="I9" s="102">
        <v>1</v>
      </c>
      <c r="J9" s="103">
        <v>2</v>
      </c>
      <c r="K9" s="103">
        <v>3</v>
      </c>
      <c r="L9" s="103">
        <v>4</v>
      </c>
      <c r="M9" s="103">
        <v>5</v>
      </c>
      <c r="N9" s="104">
        <v>6</v>
      </c>
      <c r="O9" s="138"/>
      <c r="P9" s="102">
        <v>1</v>
      </c>
      <c r="Q9" s="103">
        <v>2</v>
      </c>
      <c r="R9" s="103">
        <v>3</v>
      </c>
      <c r="S9" s="103">
        <v>4</v>
      </c>
      <c r="T9" s="103">
        <v>5</v>
      </c>
      <c r="U9" s="105">
        <v>6</v>
      </c>
      <c r="V9" s="138"/>
      <c r="W9" s="101"/>
      <c r="X9" s="219"/>
      <c r="Y9" s="182">
        <v>1</v>
      </c>
      <c r="Z9" s="147">
        <v>2</v>
      </c>
      <c r="AA9" s="147">
        <v>3</v>
      </c>
      <c r="AB9" s="147">
        <v>4</v>
      </c>
      <c r="AC9" s="147">
        <v>5</v>
      </c>
      <c r="AD9" s="148">
        <v>6</v>
      </c>
      <c r="AE9" s="183"/>
      <c r="AF9" s="146">
        <v>1</v>
      </c>
      <c r="AG9" s="147">
        <v>2</v>
      </c>
      <c r="AH9" s="147">
        <v>3</v>
      </c>
      <c r="AI9" s="147">
        <v>4</v>
      </c>
      <c r="AJ9" s="147">
        <v>5</v>
      </c>
      <c r="AK9" s="148">
        <v>6</v>
      </c>
      <c r="AL9" s="183"/>
      <c r="AM9" s="146">
        <v>1</v>
      </c>
      <c r="AN9" s="147">
        <v>2</v>
      </c>
      <c r="AO9" s="147">
        <v>3</v>
      </c>
      <c r="AP9" s="147">
        <v>4</v>
      </c>
      <c r="AQ9" s="147">
        <v>5</v>
      </c>
      <c r="AR9" s="149">
        <v>6</v>
      </c>
      <c r="AS9" s="183"/>
      <c r="AT9" s="99"/>
    </row>
    <row r="10" spans="1:46" x14ac:dyDescent="0.25">
      <c r="A10" s="113" t="s">
        <v>3</v>
      </c>
      <c r="B10" s="107">
        <v>10626</v>
      </c>
      <c r="C10" s="108">
        <v>13030</v>
      </c>
      <c r="D10" s="108">
        <v>17216</v>
      </c>
      <c r="E10" s="108">
        <v>11474</v>
      </c>
      <c r="F10" s="108">
        <v>13228</v>
      </c>
      <c r="G10" s="109">
        <v>10857</v>
      </c>
      <c r="H10" s="113">
        <f>AVERAGE(B10:G10)</f>
        <v>12738.5</v>
      </c>
      <c r="I10" s="111">
        <v>9678</v>
      </c>
      <c r="J10" s="108">
        <v>9938</v>
      </c>
      <c r="K10" s="108">
        <v>12699</v>
      </c>
      <c r="L10" s="108">
        <v>9301</v>
      </c>
      <c r="M10" s="108">
        <v>13584</v>
      </c>
      <c r="N10" s="112">
        <v>11023</v>
      </c>
      <c r="O10" s="113">
        <f>AVERAGE(I10:N10)</f>
        <v>11037.166666666666</v>
      </c>
      <c r="P10" s="111">
        <v>9477</v>
      </c>
      <c r="Q10" s="108">
        <v>14122</v>
      </c>
      <c r="R10" s="108">
        <v>16804</v>
      </c>
      <c r="S10" s="108">
        <v>11221</v>
      </c>
      <c r="T10" s="108">
        <v>15701</v>
      </c>
      <c r="U10" s="109">
        <v>18366</v>
      </c>
      <c r="V10" s="113">
        <f>AVERAGE(P10:U10)</f>
        <v>14281.833333333334</v>
      </c>
      <c r="W10" s="101"/>
      <c r="X10" s="157" t="s">
        <v>3</v>
      </c>
      <c r="Y10" s="151">
        <v>10111</v>
      </c>
      <c r="Z10" s="152">
        <v>10936</v>
      </c>
      <c r="AA10" s="152">
        <v>13188</v>
      </c>
      <c r="AB10" s="152">
        <v>12675</v>
      </c>
      <c r="AC10" s="152">
        <v>14841</v>
      </c>
      <c r="AD10" s="153">
        <v>10307</v>
      </c>
      <c r="AE10" s="157">
        <f>AVERAGE(Y10:AD10)</f>
        <v>12009.666666666666</v>
      </c>
      <c r="AF10" s="155">
        <v>12085</v>
      </c>
      <c r="AG10" s="152">
        <v>10894</v>
      </c>
      <c r="AH10" s="152">
        <v>10941</v>
      </c>
      <c r="AI10" s="152">
        <v>10771</v>
      </c>
      <c r="AJ10" s="152">
        <v>12407</v>
      </c>
      <c r="AK10" s="156">
        <v>8080</v>
      </c>
      <c r="AL10" s="157">
        <f>AVERAGE(AF10:AK10)</f>
        <v>10863</v>
      </c>
      <c r="AM10" s="155">
        <v>11359</v>
      </c>
      <c r="AN10" s="152">
        <v>10153</v>
      </c>
      <c r="AO10" s="152">
        <v>9595</v>
      </c>
      <c r="AP10" s="152">
        <v>11535</v>
      </c>
      <c r="AQ10" s="152">
        <v>8569</v>
      </c>
      <c r="AR10" s="153">
        <v>11193</v>
      </c>
      <c r="AS10" s="157">
        <f>AVERAGE(AM10:AR10)</f>
        <v>10400.666666666666</v>
      </c>
      <c r="AT10" s="99"/>
    </row>
    <row r="11" spans="1:46" x14ac:dyDescent="0.25">
      <c r="A11" s="126" t="s">
        <v>2</v>
      </c>
      <c r="B11" s="115">
        <v>62</v>
      </c>
      <c r="C11" s="116">
        <v>69</v>
      </c>
      <c r="D11" s="117">
        <v>75</v>
      </c>
      <c r="E11" s="117">
        <v>78</v>
      </c>
      <c r="F11" s="117">
        <v>66</v>
      </c>
      <c r="G11" s="118">
        <v>81</v>
      </c>
      <c r="H11" s="122">
        <f>AVERAGE(B11:G11)</f>
        <v>71.833333333333329</v>
      </c>
      <c r="I11" s="139">
        <v>76</v>
      </c>
      <c r="J11" s="116">
        <v>76</v>
      </c>
      <c r="K11" s="116">
        <v>77</v>
      </c>
      <c r="L11" s="116">
        <v>74</v>
      </c>
      <c r="M11" s="116">
        <v>69</v>
      </c>
      <c r="N11" s="140">
        <v>68</v>
      </c>
      <c r="O11" s="122">
        <f>AVERAGE(I11:N11)</f>
        <v>73.333333333333329</v>
      </c>
      <c r="P11" s="139">
        <v>75</v>
      </c>
      <c r="Q11" s="116">
        <v>81</v>
      </c>
      <c r="R11" s="116">
        <v>70</v>
      </c>
      <c r="S11" s="116">
        <v>76</v>
      </c>
      <c r="T11" s="116">
        <v>74</v>
      </c>
      <c r="U11" s="141">
        <v>76</v>
      </c>
      <c r="V11" s="122">
        <f>AVERAGE(P11:U11)</f>
        <v>75.333333333333329</v>
      </c>
      <c r="W11" s="101"/>
      <c r="X11" s="170" t="s">
        <v>2</v>
      </c>
      <c r="Y11" s="159">
        <v>74</v>
      </c>
      <c r="Z11" s="160">
        <v>73</v>
      </c>
      <c r="AA11" s="161">
        <v>73</v>
      </c>
      <c r="AB11" s="161">
        <v>72</v>
      </c>
      <c r="AC11" s="161">
        <v>82</v>
      </c>
      <c r="AD11" s="162">
        <v>63</v>
      </c>
      <c r="AE11" s="166">
        <f>AVERAGE(Y11:AD11)</f>
        <v>72.833333333333329</v>
      </c>
      <c r="AF11" s="184">
        <v>83</v>
      </c>
      <c r="AG11" s="160">
        <v>79</v>
      </c>
      <c r="AH11" s="160">
        <v>76</v>
      </c>
      <c r="AI11" s="160">
        <v>69</v>
      </c>
      <c r="AJ11" s="160">
        <v>64</v>
      </c>
      <c r="AK11" s="185">
        <v>69</v>
      </c>
      <c r="AL11" s="166">
        <f>AVERAGE(AF11:AK11)</f>
        <v>73.333333333333329</v>
      </c>
      <c r="AM11" s="184">
        <v>73</v>
      </c>
      <c r="AN11" s="160">
        <v>77</v>
      </c>
      <c r="AO11" s="160">
        <v>69</v>
      </c>
      <c r="AP11" s="160">
        <v>68</v>
      </c>
      <c r="AQ11" s="160">
        <v>72</v>
      </c>
      <c r="AR11" s="186">
        <v>73</v>
      </c>
      <c r="AS11" s="166">
        <f>AVERAGE(AM11:AR11)</f>
        <v>72</v>
      </c>
      <c r="AT11" s="99"/>
    </row>
    <row r="12" spans="1:46" ht="15.75" thickBot="1" x14ac:dyDescent="0.3">
      <c r="A12" s="138" t="s">
        <v>1</v>
      </c>
      <c r="B12" s="137">
        <v>3604</v>
      </c>
      <c r="C12" s="103">
        <v>3589</v>
      </c>
      <c r="D12" s="103">
        <v>3613</v>
      </c>
      <c r="E12" s="103">
        <v>3550</v>
      </c>
      <c r="F12" s="103">
        <v>3633</v>
      </c>
      <c r="G12" s="105">
        <v>3644</v>
      </c>
      <c r="H12" s="126"/>
      <c r="I12" s="142"/>
      <c r="J12" s="142"/>
      <c r="K12" s="142"/>
      <c r="L12" s="142"/>
      <c r="M12" s="142"/>
      <c r="N12" s="142"/>
      <c r="O12" s="126"/>
      <c r="P12" s="142"/>
      <c r="Q12" s="142"/>
      <c r="R12" s="142"/>
      <c r="S12" s="142"/>
      <c r="T12" s="142"/>
      <c r="U12" s="143"/>
      <c r="V12" s="126">
        <f>AVERAGE(B12:G12)</f>
        <v>3605.5</v>
      </c>
      <c r="W12" s="101"/>
      <c r="X12" s="183" t="s">
        <v>1</v>
      </c>
      <c r="Y12" s="182">
        <v>3604</v>
      </c>
      <c r="Z12" s="147">
        <v>3589</v>
      </c>
      <c r="AA12" s="147">
        <v>3613</v>
      </c>
      <c r="AB12" s="147">
        <v>3550</v>
      </c>
      <c r="AC12" s="147">
        <v>3633</v>
      </c>
      <c r="AD12" s="149">
        <v>3644</v>
      </c>
      <c r="AE12" s="170"/>
      <c r="AF12" s="187"/>
      <c r="AG12" s="187"/>
      <c r="AH12" s="187"/>
      <c r="AI12" s="187"/>
      <c r="AJ12" s="187"/>
      <c r="AK12" s="187"/>
      <c r="AL12" s="170"/>
      <c r="AM12" s="187"/>
      <c r="AN12" s="187"/>
      <c r="AO12" s="187"/>
      <c r="AP12" s="187"/>
      <c r="AQ12" s="187"/>
      <c r="AR12" s="188"/>
      <c r="AS12" s="170">
        <f>AVERAGE(Y12:AD12)</f>
        <v>3605.5</v>
      </c>
      <c r="AT12" s="99"/>
    </row>
    <row r="13" spans="1:46" ht="15.75" thickBot="1" x14ac:dyDescent="0.3">
      <c r="A13" s="127" t="s">
        <v>0</v>
      </c>
      <c r="B13" s="128">
        <f>B10-(3605.5+(AVERAGE(B11:G11)))</f>
        <v>6948.6666666666661</v>
      </c>
      <c r="C13" s="128">
        <f>C10-(3605.5+(AVERAGE(B11:G11)))</f>
        <v>9352.6666666666661</v>
      </c>
      <c r="D13" s="128">
        <f>D10-(3605.5+(AVERAGE(B11:G11)))</f>
        <v>13538.666666666666</v>
      </c>
      <c r="E13" s="128">
        <f>E10-(3605.5+(AVERAGE(B11:G11)))</f>
        <v>7796.6666666666661</v>
      </c>
      <c r="F13" s="128">
        <f>F10-(3605.5+(AVERAGE(B11:G11)))</f>
        <v>9550.6666666666661</v>
      </c>
      <c r="G13" s="128">
        <f>G10-(3605.5+(AVERAGE(B11:G11)))</f>
        <v>7179.6666666666661</v>
      </c>
      <c r="H13" s="134">
        <f>AVERAGE(B13:G13)</f>
        <v>9061.1666666666661</v>
      </c>
      <c r="I13" s="128">
        <f>I10-(3605.5+(AVERAGE(I11:N11)))</f>
        <v>5999.1666666666661</v>
      </c>
      <c r="J13" s="128">
        <f>J10-(3605.5+(AVERAGE(I11:N11)))</f>
        <v>6259.1666666666661</v>
      </c>
      <c r="K13" s="128">
        <f>K10-(3605.5+(AVERAGE(I11:N11)))</f>
        <v>9020.1666666666661</v>
      </c>
      <c r="L13" s="128">
        <f>L10-(3605.5+(AVERAGE(I11:N11)))</f>
        <v>5622.1666666666661</v>
      </c>
      <c r="M13" s="128">
        <f>M10-(3605.5+(AVERAGE(I11:N11)))</f>
        <v>9905.1666666666661</v>
      </c>
      <c r="N13" s="128">
        <f>N10-(3605.5+(AVERAGE(I11:N11)))</f>
        <v>7344.1666666666661</v>
      </c>
      <c r="O13" s="134">
        <f>AVERAGE(I13:N13)</f>
        <v>7358.3333333333321</v>
      </c>
      <c r="P13" s="128">
        <f>P10-(3605.5+(AVERAGE(P11:U11)))</f>
        <v>5796.1666666666661</v>
      </c>
      <c r="Q13" s="128">
        <f>Q10-(3605.5+(AVERAGE(P11:U11)))</f>
        <v>10441.166666666666</v>
      </c>
      <c r="R13" s="128">
        <f>R10-(3605.5+(AVERAGE(P11:U11)))</f>
        <v>13123.166666666666</v>
      </c>
      <c r="S13" s="128">
        <f>S10-(3605.5+(AVERAGE(P11:U11)))</f>
        <v>7540.1666666666661</v>
      </c>
      <c r="T13" s="128">
        <f>T10-(3605.5+(AVERAGE(P11:U11)))</f>
        <v>12020.166666666666</v>
      </c>
      <c r="U13" s="128">
        <f>U10-(3605.5+(AVERAGE(P11:U11)))</f>
        <v>14685.166666666666</v>
      </c>
      <c r="V13" s="134">
        <f>AVERAGE(P13:U13)</f>
        <v>10600.999999999998</v>
      </c>
      <c r="W13" s="101"/>
      <c r="X13" s="171" t="s">
        <v>0</v>
      </c>
      <c r="Y13" s="172">
        <f>Y10-(3605.5+(AVERAGE(Y11:AD11)))</f>
        <v>6432.6666666666661</v>
      </c>
      <c r="Z13" s="172">
        <f>Z10-(3605.5+(AVERAGE(Y11:AD11)))</f>
        <v>7257.6666666666661</v>
      </c>
      <c r="AA13" s="172">
        <f>AA10-(3605.5+(AVERAGE(Y11:AD11)))</f>
        <v>9509.6666666666661</v>
      </c>
      <c r="AB13" s="172">
        <f>AB10-(3605.5+(AVERAGE(Y11:AD11)))</f>
        <v>8996.6666666666661</v>
      </c>
      <c r="AC13" s="172">
        <f>AC10-(3605.5+(AVERAGE(Y11:AD11)))</f>
        <v>11162.666666666666</v>
      </c>
      <c r="AD13" s="172">
        <f>AD10-(3605.5+(AVERAGE(Y11:AD11)))</f>
        <v>6628.6666666666661</v>
      </c>
      <c r="AE13" s="178">
        <f>AVERAGE(Y13:AD13)</f>
        <v>8331.3333333333321</v>
      </c>
      <c r="AF13" s="172">
        <f>AF10-(3605.5+(AVERAGE(AF11:AK11)))</f>
        <v>8406.1666666666661</v>
      </c>
      <c r="AG13" s="172">
        <f>AG10-(3605.5+(AVERAGE(AF11:AK11)))</f>
        <v>7215.1666666666661</v>
      </c>
      <c r="AH13" s="172">
        <f>AH10-(3605.5+(AVERAGE(AF11:AK11)))</f>
        <v>7262.1666666666661</v>
      </c>
      <c r="AI13" s="172">
        <f>AI10-(3605.5+(AVERAGE(AF11:AK11)))</f>
        <v>7092.1666666666661</v>
      </c>
      <c r="AJ13" s="172">
        <f>AJ10-(3605.5+(AVERAGE(AF11:AK11)))</f>
        <v>8728.1666666666661</v>
      </c>
      <c r="AK13" s="172">
        <f>AK10-(3605.5+(AVERAGE(AF11:AK11)))</f>
        <v>4401.1666666666661</v>
      </c>
      <c r="AL13" s="178">
        <f>AVERAGE(AF13:AK13)</f>
        <v>7184.1666666666652</v>
      </c>
      <c r="AM13" s="172">
        <f>AM10-(3605.5+(AVERAGE(AM11:AR11)))</f>
        <v>7681.5</v>
      </c>
      <c r="AN13" s="172">
        <f>AN10-(3605.5+(AVERAGE(AM11:AR11)))</f>
        <v>6475.5</v>
      </c>
      <c r="AO13" s="172">
        <f>AO10-(3605.5+(AVERAGE(AM11:AR11)))</f>
        <v>5917.5</v>
      </c>
      <c r="AP13" s="172">
        <f>AP10-(3605.5+(AVERAGE(AM11:AR11)))</f>
        <v>7857.5</v>
      </c>
      <c r="AQ13" s="172">
        <f>AQ10-(3605.5+(AVERAGE(AM11:AR11)))</f>
        <v>4891.5</v>
      </c>
      <c r="AR13" s="172">
        <f>AR10-(3605.5+(AVERAGE(AM11:AR11)))</f>
        <v>7515.5</v>
      </c>
      <c r="AS13" s="178">
        <f>AVERAGE(AM13:AR13)</f>
        <v>6723.166666666667</v>
      </c>
      <c r="AT13" s="99"/>
    </row>
    <row r="14" spans="1:46" ht="15.75" thickBot="1" x14ac:dyDescent="0.3">
      <c r="A14" s="101"/>
      <c r="B14" s="101"/>
      <c r="C14" s="101"/>
      <c r="D14" s="101"/>
      <c r="E14" s="101"/>
      <c r="F14" s="101"/>
      <c r="G14" s="101"/>
      <c r="H14" s="135"/>
      <c r="I14" s="101"/>
      <c r="J14" s="101"/>
      <c r="K14" s="101"/>
      <c r="L14" s="101"/>
      <c r="M14" s="101"/>
      <c r="N14" s="101"/>
      <c r="O14" s="135"/>
      <c r="P14" s="101"/>
      <c r="Q14" s="101"/>
      <c r="R14" s="101"/>
      <c r="S14" s="101"/>
      <c r="T14" s="101"/>
      <c r="U14" s="101"/>
      <c r="V14" s="135"/>
      <c r="W14" s="101"/>
      <c r="X14" s="179"/>
      <c r="Y14" s="179"/>
      <c r="Z14" s="179"/>
      <c r="AA14" s="179"/>
      <c r="AB14" s="179"/>
      <c r="AC14" s="179"/>
      <c r="AD14" s="179"/>
      <c r="AE14" s="180"/>
      <c r="AF14" s="179"/>
      <c r="AG14" s="179"/>
      <c r="AH14" s="179"/>
      <c r="AI14" s="179"/>
      <c r="AJ14" s="179"/>
      <c r="AK14" s="179"/>
      <c r="AL14" s="180"/>
      <c r="AM14" s="179"/>
      <c r="AN14" s="179"/>
      <c r="AO14" s="179"/>
      <c r="AP14" s="179"/>
      <c r="AQ14" s="179"/>
      <c r="AR14" s="179"/>
      <c r="AS14" s="180"/>
      <c r="AT14" s="99"/>
    </row>
    <row r="15" spans="1:46" x14ac:dyDescent="0.25">
      <c r="A15" s="213" t="s">
        <v>24</v>
      </c>
      <c r="B15" s="215" t="s">
        <v>6</v>
      </c>
      <c r="C15" s="216"/>
      <c r="D15" s="216"/>
      <c r="E15" s="216"/>
      <c r="F15" s="216"/>
      <c r="G15" s="217"/>
      <c r="H15" s="136"/>
      <c r="I15" s="215" t="s">
        <v>5</v>
      </c>
      <c r="J15" s="216"/>
      <c r="K15" s="216"/>
      <c r="L15" s="216"/>
      <c r="M15" s="216"/>
      <c r="N15" s="217"/>
      <c r="O15" s="136"/>
      <c r="P15" s="215" t="s">
        <v>4</v>
      </c>
      <c r="Q15" s="216"/>
      <c r="R15" s="216"/>
      <c r="S15" s="216"/>
      <c r="T15" s="216"/>
      <c r="U15" s="217"/>
      <c r="V15" s="136"/>
      <c r="W15" s="101"/>
      <c r="X15" s="218" t="s">
        <v>31</v>
      </c>
      <c r="Y15" s="210" t="s">
        <v>6</v>
      </c>
      <c r="Z15" s="211"/>
      <c r="AA15" s="211"/>
      <c r="AB15" s="211"/>
      <c r="AC15" s="211"/>
      <c r="AD15" s="212"/>
      <c r="AE15" s="181"/>
      <c r="AF15" s="210" t="s">
        <v>5</v>
      </c>
      <c r="AG15" s="211"/>
      <c r="AH15" s="211"/>
      <c r="AI15" s="211"/>
      <c r="AJ15" s="211"/>
      <c r="AK15" s="212"/>
      <c r="AL15" s="181"/>
      <c r="AM15" s="210" t="s">
        <v>4</v>
      </c>
      <c r="AN15" s="211"/>
      <c r="AO15" s="211"/>
      <c r="AP15" s="211"/>
      <c r="AQ15" s="211"/>
      <c r="AR15" s="212"/>
      <c r="AS15" s="181"/>
      <c r="AT15" s="99"/>
    </row>
    <row r="16" spans="1:46" ht="15.75" thickBot="1" x14ac:dyDescent="0.3">
      <c r="A16" s="214"/>
      <c r="B16" s="137">
        <v>1</v>
      </c>
      <c r="C16" s="103">
        <v>2</v>
      </c>
      <c r="D16" s="103">
        <v>3</v>
      </c>
      <c r="E16" s="103">
        <v>4</v>
      </c>
      <c r="F16" s="103">
        <v>5</v>
      </c>
      <c r="G16" s="104">
        <v>6</v>
      </c>
      <c r="H16" s="138"/>
      <c r="I16" s="102">
        <v>1</v>
      </c>
      <c r="J16" s="103">
        <v>2</v>
      </c>
      <c r="K16" s="103">
        <v>3</v>
      </c>
      <c r="L16" s="103">
        <v>4</v>
      </c>
      <c r="M16" s="103">
        <v>5</v>
      </c>
      <c r="N16" s="104">
        <v>6</v>
      </c>
      <c r="O16" s="138"/>
      <c r="P16" s="102">
        <v>1</v>
      </c>
      <c r="Q16" s="103">
        <v>2</v>
      </c>
      <c r="R16" s="103">
        <v>3</v>
      </c>
      <c r="S16" s="103">
        <v>4</v>
      </c>
      <c r="T16" s="103">
        <v>5</v>
      </c>
      <c r="U16" s="105">
        <v>6</v>
      </c>
      <c r="V16" s="138"/>
      <c r="W16" s="101"/>
      <c r="X16" s="219"/>
      <c r="Y16" s="182">
        <v>1</v>
      </c>
      <c r="Z16" s="147">
        <v>2</v>
      </c>
      <c r="AA16" s="147">
        <v>3</v>
      </c>
      <c r="AB16" s="147">
        <v>4</v>
      </c>
      <c r="AC16" s="147">
        <v>5</v>
      </c>
      <c r="AD16" s="148">
        <v>6</v>
      </c>
      <c r="AE16" s="183"/>
      <c r="AF16" s="146">
        <v>1</v>
      </c>
      <c r="AG16" s="147">
        <v>2</v>
      </c>
      <c r="AH16" s="147">
        <v>3</v>
      </c>
      <c r="AI16" s="147">
        <v>4</v>
      </c>
      <c r="AJ16" s="147">
        <v>5</v>
      </c>
      <c r="AK16" s="148">
        <v>6</v>
      </c>
      <c r="AL16" s="183"/>
      <c r="AM16" s="146">
        <v>1</v>
      </c>
      <c r="AN16" s="147">
        <v>2</v>
      </c>
      <c r="AO16" s="147">
        <v>3</v>
      </c>
      <c r="AP16" s="147">
        <v>4</v>
      </c>
      <c r="AQ16" s="147">
        <v>5</v>
      </c>
      <c r="AR16" s="149">
        <v>6</v>
      </c>
      <c r="AS16" s="183"/>
      <c r="AT16" s="99"/>
    </row>
    <row r="17" spans="1:46" x14ac:dyDescent="0.25">
      <c r="A17" s="113" t="s">
        <v>3</v>
      </c>
      <c r="B17" s="107">
        <v>17658</v>
      </c>
      <c r="C17" s="108">
        <v>9163</v>
      </c>
      <c r="D17" s="108">
        <v>9796</v>
      </c>
      <c r="E17" s="108">
        <v>8478</v>
      </c>
      <c r="F17" s="108">
        <v>9779</v>
      </c>
      <c r="G17" s="109">
        <v>8293</v>
      </c>
      <c r="H17" s="113">
        <f>AVERAGE(B17:G17)</f>
        <v>10527.833333333334</v>
      </c>
      <c r="I17" s="111">
        <v>12692</v>
      </c>
      <c r="J17" s="108">
        <v>9533</v>
      </c>
      <c r="K17" s="108">
        <v>10997</v>
      </c>
      <c r="L17" s="108">
        <v>7173</v>
      </c>
      <c r="M17" s="108">
        <v>7293</v>
      </c>
      <c r="N17" s="112">
        <v>6254</v>
      </c>
      <c r="O17" s="113">
        <f>AVERAGE(I17:N17)</f>
        <v>8990.3333333333339</v>
      </c>
      <c r="P17" s="111">
        <v>18417</v>
      </c>
      <c r="Q17" s="108">
        <v>18066</v>
      </c>
      <c r="R17" s="108">
        <v>23757</v>
      </c>
      <c r="S17" s="108">
        <v>8106</v>
      </c>
      <c r="T17" s="108">
        <v>16839</v>
      </c>
      <c r="U17" s="109">
        <v>9365</v>
      </c>
      <c r="V17" s="113">
        <f>AVERAGE(P17:U17)</f>
        <v>15758.333333333334</v>
      </c>
      <c r="W17" s="101"/>
      <c r="X17" s="157" t="s">
        <v>3</v>
      </c>
      <c r="Y17" s="151">
        <v>7303</v>
      </c>
      <c r="Z17" s="152">
        <v>7546</v>
      </c>
      <c r="AA17" s="152">
        <v>8175</v>
      </c>
      <c r="AB17" s="152">
        <v>8966</v>
      </c>
      <c r="AC17" s="152">
        <v>9130</v>
      </c>
      <c r="AD17" s="153">
        <v>5706</v>
      </c>
      <c r="AE17" s="157">
        <f>AVERAGE(Y17:AD17)</f>
        <v>7804.333333333333</v>
      </c>
      <c r="AF17" s="155">
        <v>9142</v>
      </c>
      <c r="AG17" s="152">
        <v>8590</v>
      </c>
      <c r="AH17" s="152">
        <v>9763</v>
      </c>
      <c r="AI17" s="152">
        <v>8092</v>
      </c>
      <c r="AJ17" s="152">
        <v>8833</v>
      </c>
      <c r="AK17" s="156">
        <v>9098</v>
      </c>
      <c r="AL17" s="157">
        <f>AVERAGE(AF17:AK17)</f>
        <v>8919.6666666666661</v>
      </c>
      <c r="AM17" s="155">
        <v>6330</v>
      </c>
      <c r="AN17" s="152">
        <v>6119</v>
      </c>
      <c r="AO17" s="152">
        <v>7550</v>
      </c>
      <c r="AP17" s="152">
        <v>8349</v>
      </c>
      <c r="AQ17" s="152">
        <v>6571</v>
      </c>
      <c r="AR17" s="153">
        <v>5741</v>
      </c>
      <c r="AS17" s="157">
        <f>AVERAGE(AM17:AR17)</f>
        <v>6776.666666666667</v>
      </c>
      <c r="AT17" s="99"/>
    </row>
    <row r="18" spans="1:46" x14ac:dyDescent="0.25">
      <c r="A18" s="126" t="s">
        <v>2</v>
      </c>
      <c r="B18" s="115">
        <v>71</v>
      </c>
      <c r="C18" s="116">
        <v>73</v>
      </c>
      <c r="D18" s="117">
        <v>71</v>
      </c>
      <c r="E18" s="117">
        <v>83</v>
      </c>
      <c r="F18" s="117">
        <v>69</v>
      </c>
      <c r="G18" s="118">
        <v>74</v>
      </c>
      <c r="H18" s="122">
        <f>AVERAGE(B18:G18)</f>
        <v>73.5</v>
      </c>
      <c r="I18" s="139">
        <v>81</v>
      </c>
      <c r="J18" s="116">
        <v>80</v>
      </c>
      <c r="K18" s="116">
        <v>77</v>
      </c>
      <c r="L18" s="116">
        <v>71</v>
      </c>
      <c r="M18" s="116">
        <v>76</v>
      </c>
      <c r="N18" s="140">
        <v>79</v>
      </c>
      <c r="O18" s="122">
        <f>AVERAGE(I18:N18)</f>
        <v>77.333333333333329</v>
      </c>
      <c r="P18" s="139">
        <v>82</v>
      </c>
      <c r="Q18" s="116">
        <v>83</v>
      </c>
      <c r="R18" s="116">
        <v>67</v>
      </c>
      <c r="S18" s="116">
        <v>76</v>
      </c>
      <c r="T18" s="116">
        <v>78</v>
      </c>
      <c r="U18" s="141">
        <v>76</v>
      </c>
      <c r="V18" s="122">
        <f>AVERAGE(P18:U18)</f>
        <v>77</v>
      </c>
      <c r="W18" s="101"/>
      <c r="X18" s="170" t="s">
        <v>2</v>
      </c>
      <c r="Y18" s="159">
        <v>70</v>
      </c>
      <c r="Z18" s="160">
        <v>68</v>
      </c>
      <c r="AA18" s="161">
        <v>72</v>
      </c>
      <c r="AB18" s="161">
        <v>79</v>
      </c>
      <c r="AC18" s="161">
        <v>72</v>
      </c>
      <c r="AD18" s="162">
        <v>76</v>
      </c>
      <c r="AE18" s="166">
        <f>AVERAGE(Y18:AD18)</f>
        <v>72.833333333333329</v>
      </c>
      <c r="AF18" s="184">
        <v>82</v>
      </c>
      <c r="AG18" s="160">
        <v>79</v>
      </c>
      <c r="AH18" s="160">
        <v>79</v>
      </c>
      <c r="AI18" s="160">
        <v>63</v>
      </c>
      <c r="AJ18" s="160">
        <v>69</v>
      </c>
      <c r="AK18" s="185">
        <v>83</v>
      </c>
      <c r="AL18" s="166">
        <f>AVERAGE(AF18:AK18)</f>
        <v>75.833333333333329</v>
      </c>
      <c r="AM18" s="184">
        <v>87</v>
      </c>
      <c r="AN18" s="160">
        <v>85</v>
      </c>
      <c r="AO18" s="160">
        <v>71</v>
      </c>
      <c r="AP18" s="160">
        <v>64</v>
      </c>
      <c r="AQ18" s="160">
        <v>70</v>
      </c>
      <c r="AR18" s="186">
        <v>71</v>
      </c>
      <c r="AS18" s="166">
        <f>AVERAGE(AM18:AR18)</f>
        <v>74.666666666666671</v>
      </c>
      <c r="AT18" s="99"/>
    </row>
    <row r="19" spans="1:46" ht="15.75" thickBot="1" x14ac:dyDescent="0.3">
      <c r="A19" s="138" t="s">
        <v>1</v>
      </c>
      <c r="B19" s="137">
        <v>3638</v>
      </c>
      <c r="C19" s="103">
        <v>3628</v>
      </c>
      <c r="D19" s="103">
        <v>3614</v>
      </c>
      <c r="E19" s="103">
        <v>3589</v>
      </c>
      <c r="F19" s="103">
        <v>3595</v>
      </c>
      <c r="G19" s="105">
        <v>3639</v>
      </c>
      <c r="H19" s="126"/>
      <c r="I19" s="142"/>
      <c r="J19" s="142"/>
      <c r="K19" s="142"/>
      <c r="L19" s="142"/>
      <c r="M19" s="142"/>
      <c r="N19" s="142"/>
      <c r="O19" s="126"/>
      <c r="P19" s="142"/>
      <c r="Q19" s="142"/>
      <c r="R19" s="142"/>
      <c r="S19" s="142"/>
      <c r="T19" s="142"/>
      <c r="U19" s="143"/>
      <c r="V19" s="126">
        <f>AVERAGE(B19:G19)</f>
        <v>3617.1666666666665</v>
      </c>
      <c r="W19" s="101"/>
      <c r="X19" s="183" t="s">
        <v>1</v>
      </c>
      <c r="Y19" s="182">
        <v>3638</v>
      </c>
      <c r="Z19" s="147">
        <v>3628</v>
      </c>
      <c r="AA19" s="147">
        <v>3614</v>
      </c>
      <c r="AB19" s="147">
        <v>3589</v>
      </c>
      <c r="AC19" s="147">
        <v>3595</v>
      </c>
      <c r="AD19" s="149">
        <v>3639</v>
      </c>
      <c r="AE19" s="170"/>
      <c r="AF19" s="187"/>
      <c r="AG19" s="187"/>
      <c r="AH19" s="187"/>
      <c r="AI19" s="187"/>
      <c r="AJ19" s="187"/>
      <c r="AK19" s="187"/>
      <c r="AL19" s="170"/>
      <c r="AM19" s="187"/>
      <c r="AN19" s="187"/>
      <c r="AO19" s="187"/>
      <c r="AP19" s="187"/>
      <c r="AQ19" s="187"/>
      <c r="AR19" s="188"/>
      <c r="AS19" s="170">
        <f>AVERAGE(Y19:AD19)</f>
        <v>3617.1666666666665</v>
      </c>
      <c r="AT19" s="99"/>
    </row>
    <row r="20" spans="1:46" ht="15.75" thickBot="1" x14ac:dyDescent="0.3">
      <c r="A20" s="127" t="s">
        <v>0</v>
      </c>
      <c r="B20" s="128">
        <f>B17-(3617.167+(AVERAGE(B18:G18)))</f>
        <v>13967.333000000001</v>
      </c>
      <c r="C20" s="129">
        <f>C17-(3617.167+(AVERAGE(B18:G18)))</f>
        <v>5472.3330000000005</v>
      </c>
      <c r="D20" s="129">
        <f>D17-(3617.167+(AVERAGE(B18:G18)))</f>
        <v>6105.3330000000005</v>
      </c>
      <c r="E20" s="129">
        <f>E17-(3617.167+(AVERAGE(B18:G18)))</f>
        <v>4787.3330000000005</v>
      </c>
      <c r="F20" s="129">
        <f>F17-(3617.167+(AVERAGE(B18:G18)))</f>
        <v>6088.3330000000005</v>
      </c>
      <c r="G20" s="130">
        <f>G17-(3617.167+(AVERAGE(B18:G18)))</f>
        <v>4602.3330000000005</v>
      </c>
      <c r="H20" s="134">
        <f>AVERAGE(B20:G20)</f>
        <v>6837.1663333333336</v>
      </c>
      <c r="I20" s="128">
        <f>I17-(3617.167+(AVERAGE(I18:N18)))</f>
        <v>8997.4996666666666</v>
      </c>
      <c r="J20" s="129">
        <f>J17-(3617.167+(AVERAGE(I18:N18)))</f>
        <v>5838.4996666666666</v>
      </c>
      <c r="K20" s="129">
        <f>K17-(3617.167+(AVERAGE(I18:N18)))</f>
        <v>7302.4996666666666</v>
      </c>
      <c r="L20" s="129">
        <f>L17-(3617.167+(AVERAGE(I18:N18)))</f>
        <v>3478.4996666666666</v>
      </c>
      <c r="M20" s="129">
        <f>M17-(3617.167+(AVERAGE(I18:N18)))</f>
        <v>3598.4996666666666</v>
      </c>
      <c r="N20" s="130">
        <f>N17-(3617.167+(AVERAGE(I18:N18)))</f>
        <v>2559.4996666666666</v>
      </c>
      <c r="O20" s="134">
        <f>AVERAGE(I20:N20)</f>
        <v>5295.8329999999996</v>
      </c>
      <c r="P20" s="128">
        <f>P17-(3617.167+(AVERAGE(P18:U18)))</f>
        <v>14722.833000000001</v>
      </c>
      <c r="Q20" s="129">
        <f>Q17-(3617.167+(AVERAGE(P18:U18)))</f>
        <v>14371.833000000001</v>
      </c>
      <c r="R20" s="129">
        <f>R17-(3617.167+(AVERAGE(P18:U18)))</f>
        <v>20062.832999999999</v>
      </c>
      <c r="S20" s="129">
        <f>S17-(3617.167+(AVERAGE(P18:U18)))</f>
        <v>4411.8330000000005</v>
      </c>
      <c r="T20" s="129">
        <f>T17-(3617.167+(AVERAGE(P18:U18)))</f>
        <v>13144.833000000001</v>
      </c>
      <c r="U20" s="130">
        <f>U17-(3617.167+(AVERAGE(P18:U18)))</f>
        <v>5670.8330000000005</v>
      </c>
      <c r="V20" s="134">
        <f>AVERAGE(P20:U20)</f>
        <v>12064.166333333333</v>
      </c>
      <c r="W20" s="101"/>
      <c r="X20" s="171" t="s">
        <v>0</v>
      </c>
      <c r="Y20" s="172">
        <f>Y17-(3617.167+(AVERAGE(Y18:AD18)))</f>
        <v>3612.9996666666666</v>
      </c>
      <c r="Z20" s="173">
        <f>Z17-(3617.167+(AVERAGE(Y18:AD18)))</f>
        <v>3855.9996666666666</v>
      </c>
      <c r="AA20" s="173">
        <f>AA17-(3617.167+(AVERAGE(Y18:AD18)))</f>
        <v>4484.9996666666666</v>
      </c>
      <c r="AB20" s="173">
        <f>AB17-(3617.167+(AVERAGE(Y18:AD18)))</f>
        <v>5275.9996666666666</v>
      </c>
      <c r="AC20" s="173">
        <f>AC17-(3617.167+(AVERAGE(Y18:AD18)))</f>
        <v>5439.9996666666666</v>
      </c>
      <c r="AD20" s="174">
        <f>AD17-(3617.167+(AVERAGE(Y18:AD18)))</f>
        <v>2015.9996666666666</v>
      </c>
      <c r="AE20" s="178">
        <f>AVERAGE(Y20:AD20)</f>
        <v>4114.3329999999996</v>
      </c>
      <c r="AF20" s="172">
        <f>AF17-(3617.167+(AVERAGE(AF18:AK18)))</f>
        <v>5448.9996666666666</v>
      </c>
      <c r="AG20" s="173">
        <f>AG17-(3617.167+(AVERAGE(AF18:AK18)))</f>
        <v>4896.9996666666666</v>
      </c>
      <c r="AH20" s="173">
        <f>AH17-(3617.167+(AVERAGE(AF18:AK18)))</f>
        <v>6069.9996666666666</v>
      </c>
      <c r="AI20" s="173">
        <f>AI17-(3617.167+(AVERAGE(AF18:AK18)))</f>
        <v>4398.9996666666666</v>
      </c>
      <c r="AJ20" s="173">
        <f>AJ17-(3617.167+(AVERAGE(AF18:AK18)))</f>
        <v>5139.9996666666666</v>
      </c>
      <c r="AK20" s="174">
        <f>AK17-(3617.167+(AVERAGE(AF18:AK18)))</f>
        <v>5404.9996666666666</v>
      </c>
      <c r="AL20" s="178">
        <f>AVERAGE(AF20:AK20)</f>
        <v>5226.6663333333336</v>
      </c>
      <c r="AM20" s="172">
        <f>AM17-(3617.167+(AVERAGE(AM18:AR18)))</f>
        <v>2638.1663333333336</v>
      </c>
      <c r="AN20" s="173">
        <f>AN17-(3617.167+(AVERAGE(AM18:AR18)))</f>
        <v>2427.1663333333336</v>
      </c>
      <c r="AO20" s="173">
        <f>AO17-(3617.167+(AVERAGE(AM18:AR18)))</f>
        <v>3858.1663333333336</v>
      </c>
      <c r="AP20" s="173">
        <f>AP17-(3617.167+(AVERAGE(AM18:AR18)))</f>
        <v>4657.1663333333336</v>
      </c>
      <c r="AQ20" s="173">
        <f>AQ17-(3617.167+(AVERAGE(AM18:AR18)))</f>
        <v>2879.1663333333336</v>
      </c>
      <c r="AR20" s="174">
        <f>AR17-(3617.167+(AVERAGE(AM18:AR18)))</f>
        <v>2049.1663333333336</v>
      </c>
      <c r="AS20" s="178">
        <f>AVERAGE(AM20:AR20)</f>
        <v>3084.8330000000005</v>
      </c>
      <c r="AT20" s="99"/>
    </row>
    <row r="21" spans="1:46" ht="15.75" thickBot="1" x14ac:dyDescent="0.3">
      <c r="A21" s="101"/>
      <c r="B21" s="101"/>
      <c r="C21" s="101"/>
      <c r="D21" s="101"/>
      <c r="E21" s="101"/>
      <c r="F21" s="101"/>
      <c r="G21" s="101"/>
      <c r="H21" s="135"/>
      <c r="I21" s="101"/>
      <c r="J21" s="101"/>
      <c r="K21" s="101"/>
      <c r="L21" s="101"/>
      <c r="M21" s="101"/>
      <c r="N21" s="101"/>
      <c r="O21" s="135"/>
      <c r="P21" s="101"/>
      <c r="Q21" s="101"/>
      <c r="R21" s="101"/>
      <c r="S21" s="101"/>
      <c r="T21" s="101"/>
      <c r="U21" s="101"/>
      <c r="V21" s="135"/>
      <c r="W21" s="101"/>
      <c r="X21" s="179"/>
      <c r="Y21" s="179"/>
      <c r="Z21" s="179"/>
      <c r="AA21" s="179"/>
      <c r="AB21" s="179"/>
      <c r="AC21" s="179"/>
      <c r="AD21" s="179"/>
      <c r="AE21" s="180"/>
      <c r="AF21" s="179"/>
      <c r="AG21" s="179"/>
      <c r="AH21" s="179"/>
      <c r="AI21" s="179"/>
      <c r="AJ21" s="179"/>
      <c r="AK21" s="179"/>
      <c r="AL21" s="180"/>
      <c r="AM21" s="179"/>
      <c r="AN21" s="179"/>
      <c r="AO21" s="179"/>
      <c r="AP21" s="179"/>
      <c r="AQ21" s="179"/>
      <c r="AR21" s="179"/>
      <c r="AS21" s="180"/>
      <c r="AT21" s="99"/>
    </row>
    <row r="22" spans="1:46" x14ac:dyDescent="0.25">
      <c r="A22" s="213" t="s">
        <v>25</v>
      </c>
      <c r="B22" s="215" t="s">
        <v>6</v>
      </c>
      <c r="C22" s="216"/>
      <c r="D22" s="216"/>
      <c r="E22" s="216"/>
      <c r="F22" s="216"/>
      <c r="G22" s="217"/>
      <c r="H22" s="136"/>
      <c r="I22" s="215" t="s">
        <v>5</v>
      </c>
      <c r="J22" s="216"/>
      <c r="K22" s="216"/>
      <c r="L22" s="216"/>
      <c r="M22" s="216"/>
      <c r="N22" s="217"/>
      <c r="O22" s="136"/>
      <c r="P22" s="215" t="s">
        <v>4</v>
      </c>
      <c r="Q22" s="216"/>
      <c r="R22" s="216"/>
      <c r="S22" s="216"/>
      <c r="T22" s="216"/>
      <c r="U22" s="217"/>
      <c r="V22" s="136"/>
      <c r="W22" s="101"/>
      <c r="X22" s="218" t="s">
        <v>32</v>
      </c>
      <c r="Y22" s="210" t="s">
        <v>6</v>
      </c>
      <c r="Z22" s="211"/>
      <c r="AA22" s="211"/>
      <c r="AB22" s="211"/>
      <c r="AC22" s="211"/>
      <c r="AD22" s="212"/>
      <c r="AE22" s="181"/>
      <c r="AF22" s="210" t="s">
        <v>5</v>
      </c>
      <c r="AG22" s="211"/>
      <c r="AH22" s="211"/>
      <c r="AI22" s="211"/>
      <c r="AJ22" s="211"/>
      <c r="AK22" s="212"/>
      <c r="AL22" s="181"/>
      <c r="AM22" s="210" t="s">
        <v>4</v>
      </c>
      <c r="AN22" s="211"/>
      <c r="AO22" s="211"/>
      <c r="AP22" s="211"/>
      <c r="AQ22" s="211"/>
      <c r="AR22" s="212"/>
      <c r="AS22" s="181"/>
      <c r="AT22" s="99"/>
    </row>
    <row r="23" spans="1:46" ht="15.75" thickBot="1" x14ac:dyDescent="0.3">
      <c r="A23" s="214"/>
      <c r="B23" s="137">
        <v>1</v>
      </c>
      <c r="C23" s="103">
        <v>2</v>
      </c>
      <c r="D23" s="103">
        <v>3</v>
      </c>
      <c r="E23" s="103">
        <v>4</v>
      </c>
      <c r="F23" s="103">
        <v>5</v>
      </c>
      <c r="G23" s="104">
        <v>6</v>
      </c>
      <c r="H23" s="138"/>
      <c r="I23" s="102">
        <v>1</v>
      </c>
      <c r="J23" s="103">
        <v>2</v>
      </c>
      <c r="K23" s="103">
        <v>3</v>
      </c>
      <c r="L23" s="103">
        <v>4</v>
      </c>
      <c r="M23" s="103">
        <v>5</v>
      </c>
      <c r="N23" s="104">
        <v>6</v>
      </c>
      <c r="O23" s="138"/>
      <c r="P23" s="102">
        <v>1</v>
      </c>
      <c r="Q23" s="103">
        <v>2</v>
      </c>
      <c r="R23" s="103">
        <v>3</v>
      </c>
      <c r="S23" s="103">
        <v>4</v>
      </c>
      <c r="T23" s="103">
        <v>5</v>
      </c>
      <c r="U23" s="105">
        <v>6</v>
      </c>
      <c r="V23" s="138"/>
      <c r="W23" s="101"/>
      <c r="X23" s="219"/>
      <c r="Y23" s="182">
        <v>1</v>
      </c>
      <c r="Z23" s="147">
        <v>2</v>
      </c>
      <c r="AA23" s="147">
        <v>3</v>
      </c>
      <c r="AB23" s="147">
        <v>4</v>
      </c>
      <c r="AC23" s="147">
        <v>5</v>
      </c>
      <c r="AD23" s="148">
        <v>6</v>
      </c>
      <c r="AE23" s="183"/>
      <c r="AF23" s="146">
        <v>1</v>
      </c>
      <c r="AG23" s="147">
        <v>2</v>
      </c>
      <c r="AH23" s="147">
        <v>3</v>
      </c>
      <c r="AI23" s="147">
        <v>4</v>
      </c>
      <c r="AJ23" s="147">
        <v>5</v>
      </c>
      <c r="AK23" s="148">
        <v>6</v>
      </c>
      <c r="AL23" s="183"/>
      <c r="AM23" s="146">
        <v>1</v>
      </c>
      <c r="AN23" s="147">
        <v>2</v>
      </c>
      <c r="AO23" s="147">
        <v>3</v>
      </c>
      <c r="AP23" s="147">
        <v>4</v>
      </c>
      <c r="AQ23" s="147">
        <v>5</v>
      </c>
      <c r="AR23" s="149">
        <v>6</v>
      </c>
      <c r="AS23" s="183"/>
      <c r="AT23" s="99"/>
    </row>
    <row r="24" spans="1:46" x14ac:dyDescent="0.25">
      <c r="A24" s="113" t="s">
        <v>3</v>
      </c>
      <c r="B24" s="107">
        <v>7175</v>
      </c>
      <c r="C24" s="108">
        <v>10704</v>
      </c>
      <c r="D24" s="108">
        <v>12594</v>
      </c>
      <c r="E24" s="108">
        <v>9086</v>
      </c>
      <c r="F24" s="108">
        <v>9022</v>
      </c>
      <c r="G24" s="109">
        <v>10557</v>
      </c>
      <c r="H24" s="113">
        <f>AVERAGE(B24:G24)</f>
        <v>9856.3333333333339</v>
      </c>
      <c r="I24" s="111">
        <v>10060</v>
      </c>
      <c r="J24" s="108">
        <v>9840</v>
      </c>
      <c r="K24" s="108">
        <v>10529</v>
      </c>
      <c r="L24" s="108">
        <v>6706</v>
      </c>
      <c r="M24" s="108">
        <v>7182</v>
      </c>
      <c r="N24" s="112">
        <v>10604</v>
      </c>
      <c r="O24" s="113">
        <f>AVERAGE(I24:N24)</f>
        <v>9153.5</v>
      </c>
      <c r="P24" s="111">
        <v>9260</v>
      </c>
      <c r="Q24" s="108">
        <v>13270</v>
      </c>
      <c r="R24" s="108">
        <v>20886</v>
      </c>
      <c r="S24" s="108">
        <v>8902</v>
      </c>
      <c r="T24" s="108">
        <v>12348</v>
      </c>
      <c r="U24" s="109">
        <v>9710</v>
      </c>
      <c r="V24" s="113">
        <f>AVERAGE(P24:U24)</f>
        <v>12396</v>
      </c>
      <c r="W24" s="101"/>
      <c r="X24" s="157" t="s">
        <v>3</v>
      </c>
      <c r="Y24" s="151">
        <v>8902</v>
      </c>
      <c r="Z24" s="152">
        <v>8094</v>
      </c>
      <c r="AA24" s="152">
        <v>8206</v>
      </c>
      <c r="AB24" s="152">
        <v>9758</v>
      </c>
      <c r="AC24" s="152">
        <v>6865</v>
      </c>
      <c r="AD24" s="153">
        <v>6123</v>
      </c>
      <c r="AE24" s="157">
        <f>AVERAGE(Y24:AD24)</f>
        <v>7991.333333333333</v>
      </c>
      <c r="AF24" s="155">
        <v>8198</v>
      </c>
      <c r="AG24" s="152">
        <v>9033</v>
      </c>
      <c r="AH24" s="152">
        <v>10115</v>
      </c>
      <c r="AI24" s="152">
        <v>9554</v>
      </c>
      <c r="AJ24" s="152">
        <v>8128</v>
      </c>
      <c r="AK24" s="156">
        <v>5690</v>
      </c>
      <c r="AL24" s="157">
        <f>AVERAGE(AF24:AK24)</f>
        <v>8453</v>
      </c>
      <c r="AM24" s="155">
        <v>6329</v>
      </c>
      <c r="AN24" s="152">
        <v>4851</v>
      </c>
      <c r="AO24" s="152">
        <v>5961</v>
      </c>
      <c r="AP24" s="152">
        <v>6038</v>
      </c>
      <c r="AQ24" s="152">
        <v>5858</v>
      </c>
      <c r="AR24" s="153">
        <v>6423</v>
      </c>
      <c r="AS24" s="157">
        <f>AVERAGE(AM24:AR24)</f>
        <v>5910</v>
      </c>
      <c r="AT24" s="99"/>
    </row>
    <row r="25" spans="1:46" x14ac:dyDescent="0.25">
      <c r="A25" s="126" t="s">
        <v>2</v>
      </c>
      <c r="B25" s="115">
        <v>78</v>
      </c>
      <c r="C25" s="116">
        <v>78</v>
      </c>
      <c r="D25" s="117">
        <v>74</v>
      </c>
      <c r="E25" s="117">
        <v>80</v>
      </c>
      <c r="F25" s="117">
        <v>74</v>
      </c>
      <c r="G25" s="118">
        <v>67</v>
      </c>
      <c r="H25" s="122">
        <f>AVERAGE(B25:G25)</f>
        <v>75.166666666666671</v>
      </c>
      <c r="I25" s="139">
        <v>85</v>
      </c>
      <c r="J25" s="116">
        <v>67</v>
      </c>
      <c r="K25" s="116">
        <v>82</v>
      </c>
      <c r="L25" s="116">
        <v>73</v>
      </c>
      <c r="M25" s="116">
        <v>86</v>
      </c>
      <c r="N25" s="140">
        <v>70</v>
      </c>
      <c r="O25" s="122">
        <f>AVERAGE(I25:N25)</f>
        <v>77.166666666666671</v>
      </c>
      <c r="P25" s="139">
        <v>70</v>
      </c>
      <c r="Q25" s="116">
        <v>86</v>
      </c>
      <c r="R25" s="116">
        <v>68</v>
      </c>
      <c r="S25" s="116">
        <v>77</v>
      </c>
      <c r="T25" s="116">
        <v>75</v>
      </c>
      <c r="U25" s="141">
        <v>83</v>
      </c>
      <c r="V25" s="122">
        <f>AVERAGE(P25:U25)</f>
        <v>76.5</v>
      </c>
      <c r="W25" s="101"/>
      <c r="X25" s="170" t="s">
        <v>2</v>
      </c>
      <c r="Y25" s="159">
        <v>77</v>
      </c>
      <c r="Z25" s="160">
        <v>79</v>
      </c>
      <c r="AA25" s="161">
        <v>73</v>
      </c>
      <c r="AB25" s="161">
        <v>84</v>
      </c>
      <c r="AC25" s="161">
        <v>76</v>
      </c>
      <c r="AD25" s="162">
        <v>73</v>
      </c>
      <c r="AE25" s="166">
        <f>AVERAGE(Y25:AD25)</f>
        <v>77</v>
      </c>
      <c r="AF25" s="184">
        <v>73</v>
      </c>
      <c r="AG25" s="160">
        <v>75</v>
      </c>
      <c r="AH25" s="160">
        <v>72</v>
      </c>
      <c r="AI25" s="160">
        <v>66</v>
      </c>
      <c r="AJ25" s="160">
        <v>76</v>
      </c>
      <c r="AK25" s="185">
        <v>74</v>
      </c>
      <c r="AL25" s="166">
        <f>AVERAGE(AF25:AK25)</f>
        <v>72.666666666666671</v>
      </c>
      <c r="AM25" s="184">
        <v>74</v>
      </c>
      <c r="AN25" s="160">
        <v>84</v>
      </c>
      <c r="AO25" s="160">
        <v>79</v>
      </c>
      <c r="AP25" s="160">
        <v>84</v>
      </c>
      <c r="AQ25" s="160">
        <v>69</v>
      </c>
      <c r="AR25" s="186">
        <v>76</v>
      </c>
      <c r="AS25" s="166">
        <f>AVERAGE(AM25:AR25)</f>
        <v>77.666666666666671</v>
      </c>
      <c r="AT25" s="99"/>
    </row>
    <row r="26" spans="1:46" ht="15.75" thickBot="1" x14ac:dyDescent="0.3">
      <c r="A26" s="138" t="s">
        <v>1</v>
      </c>
      <c r="B26" s="137">
        <v>3678</v>
      </c>
      <c r="C26" s="103">
        <v>3609</v>
      </c>
      <c r="D26" s="103">
        <v>3574</v>
      </c>
      <c r="E26" s="103">
        <v>3582</v>
      </c>
      <c r="F26" s="103">
        <v>3626</v>
      </c>
      <c r="G26" s="105">
        <v>3612</v>
      </c>
      <c r="H26" s="126"/>
      <c r="I26" s="142"/>
      <c r="J26" s="142"/>
      <c r="K26" s="142"/>
      <c r="L26" s="142"/>
      <c r="M26" s="142"/>
      <c r="N26" s="142"/>
      <c r="O26" s="126"/>
      <c r="P26" s="142"/>
      <c r="Q26" s="142"/>
      <c r="R26" s="142"/>
      <c r="S26" s="142"/>
      <c r="T26" s="142"/>
      <c r="U26" s="143"/>
      <c r="V26" s="126">
        <f>AVERAGE(B26:G26)</f>
        <v>3613.5</v>
      </c>
      <c r="W26" s="101"/>
      <c r="X26" s="183" t="s">
        <v>1</v>
      </c>
      <c r="Y26" s="182">
        <v>3678</v>
      </c>
      <c r="Z26" s="147">
        <v>3609</v>
      </c>
      <c r="AA26" s="147">
        <v>3574</v>
      </c>
      <c r="AB26" s="147">
        <v>3582</v>
      </c>
      <c r="AC26" s="147">
        <v>3626</v>
      </c>
      <c r="AD26" s="149">
        <v>3612</v>
      </c>
      <c r="AE26" s="170"/>
      <c r="AF26" s="187"/>
      <c r="AG26" s="187"/>
      <c r="AH26" s="187"/>
      <c r="AI26" s="187"/>
      <c r="AJ26" s="187"/>
      <c r="AK26" s="187"/>
      <c r="AL26" s="170"/>
      <c r="AM26" s="187"/>
      <c r="AN26" s="187"/>
      <c r="AO26" s="187"/>
      <c r="AP26" s="187"/>
      <c r="AQ26" s="187"/>
      <c r="AR26" s="188"/>
      <c r="AS26" s="170">
        <f>AVERAGE(Y26:AD26)</f>
        <v>3613.5</v>
      </c>
      <c r="AT26" s="99"/>
    </row>
    <row r="27" spans="1:46" ht="15.75" thickBot="1" x14ac:dyDescent="0.3">
      <c r="A27" s="127" t="s">
        <v>0</v>
      </c>
      <c r="B27" s="128">
        <f>B24-(3613.5+(AVERAGE(B25:G25)))</f>
        <v>3486.3333333333335</v>
      </c>
      <c r="C27" s="129">
        <f>C24-(3613.5+(AVERAGE(B25:G25)))</f>
        <v>7015.3333333333339</v>
      </c>
      <c r="D27" s="129">
        <f>D24-(3613.5+(AVERAGE(B25:G25)))</f>
        <v>8905.3333333333339</v>
      </c>
      <c r="E27" s="129">
        <f>E24-(3613.5+(AVERAGE(B25:G25)))</f>
        <v>5397.3333333333339</v>
      </c>
      <c r="F27" s="129">
        <f>F24-(3613.5+(AVERAGE(B25:G25)))</f>
        <v>5333.3333333333339</v>
      </c>
      <c r="G27" s="130">
        <f>G24-(3613.5+(AVERAGE(B25:G25)))</f>
        <v>6868.3333333333339</v>
      </c>
      <c r="H27" s="134">
        <f>AVERAGE(B27:G27)</f>
        <v>6167.6666666666679</v>
      </c>
      <c r="I27" s="128">
        <f>I24-(3613.5+(AVERAGE(I25:N25)))</f>
        <v>6369.3333333333339</v>
      </c>
      <c r="J27" s="129">
        <f>J24-(3613.5+(AVERAGE(I25:N25)))</f>
        <v>6149.3333333333339</v>
      </c>
      <c r="K27" s="129">
        <f>K24-(3613.5+(AVERAGE(I25:N25)))</f>
        <v>6838.3333333333339</v>
      </c>
      <c r="L27" s="129">
        <f>L24-(3613.5+(AVERAGE(I25:N25)))</f>
        <v>3015.3333333333335</v>
      </c>
      <c r="M27" s="129">
        <f>M24-(3613.5+(AVERAGE(I25:N25)))</f>
        <v>3491.3333333333335</v>
      </c>
      <c r="N27" s="130">
        <f>N24-(3613.5+(AVERAGE(I25:N25)))</f>
        <v>6913.3333333333339</v>
      </c>
      <c r="O27" s="134">
        <f>AVERAGE(I27:N27)</f>
        <v>5462.833333333333</v>
      </c>
      <c r="P27" s="128">
        <f>P24-(3613.5+(AVERAGE(P25:U25)))</f>
        <v>5570</v>
      </c>
      <c r="Q27" s="129">
        <f>Q24-(3613.5+(AVERAGE(P25:U25)))</f>
        <v>9580</v>
      </c>
      <c r="R27" s="129">
        <f>R24-(3613.5+(AVERAGE(P25:U25)))</f>
        <v>17196</v>
      </c>
      <c r="S27" s="129">
        <f>S24-(3613.5+(AVERAGE(P25:U25)))</f>
        <v>5212</v>
      </c>
      <c r="T27" s="129">
        <f>T24-(3613.5+(AVERAGE(P25:U25)))</f>
        <v>8658</v>
      </c>
      <c r="U27" s="130">
        <f>U24-(3613.5+(AVERAGE(P25:U25)))</f>
        <v>6020</v>
      </c>
      <c r="V27" s="134">
        <f>AVERAGE(P27:U27)</f>
        <v>8706</v>
      </c>
      <c r="W27" s="101"/>
      <c r="X27" s="171" t="s">
        <v>0</v>
      </c>
      <c r="Y27" s="172">
        <f>Y24-(3613.5+(AVERAGE(Y25:AD25)))</f>
        <v>5211.5</v>
      </c>
      <c r="Z27" s="173">
        <f>Z24-(3613.5+(AVERAGE(Y25:AD25)))</f>
        <v>4403.5</v>
      </c>
      <c r="AA27" s="173">
        <f>AA24-(3613.5+(AVERAGE(Y25:AD25)))</f>
        <v>4515.5</v>
      </c>
      <c r="AB27" s="173">
        <f>AB24-(3613.5+(AVERAGE(Y25:AD25)))</f>
        <v>6067.5</v>
      </c>
      <c r="AC27" s="173">
        <f>AC24-(3613.5+(AVERAGE(Y25:AD25)))</f>
        <v>3174.5</v>
      </c>
      <c r="AD27" s="174">
        <f>AD24-(3613.5+(AVERAGE(Y25:AD25)))</f>
        <v>2432.5</v>
      </c>
      <c r="AE27" s="178">
        <f>AVERAGE(Y27:AD27)</f>
        <v>4300.833333333333</v>
      </c>
      <c r="AF27" s="172">
        <f>AF24-(3613.5+(AVERAGE(AF25:AK25)))</f>
        <v>4511.8333333333339</v>
      </c>
      <c r="AG27" s="173">
        <f>AG24-(3613.5+(AVERAGE(AF25:AK25)))</f>
        <v>5346.8333333333339</v>
      </c>
      <c r="AH27" s="173">
        <f>AH24-(3613.5+(AVERAGE(AF25:AK25)))</f>
        <v>6428.8333333333339</v>
      </c>
      <c r="AI27" s="173">
        <f>AI24-(3613.5+(AVERAGE(AF25:AK25)))</f>
        <v>5867.8333333333339</v>
      </c>
      <c r="AJ27" s="173">
        <f>AJ24-(3613.5+(AVERAGE(AF25:AK25)))</f>
        <v>4441.8333333333339</v>
      </c>
      <c r="AK27" s="174">
        <f>AK24-(3613.5+(AVERAGE(AF25:AK25)))</f>
        <v>2003.8333333333335</v>
      </c>
      <c r="AL27" s="178">
        <f>AVERAGE(AF27:AK27)</f>
        <v>4766.8333333333339</v>
      </c>
      <c r="AM27" s="172">
        <f>AM24-(3613.5+(AVERAGE(AM25:AR25)))</f>
        <v>2637.8333333333335</v>
      </c>
      <c r="AN27" s="173">
        <f>AN24-(3613.5+(AVERAGE(AM25:AR25)))</f>
        <v>1159.8333333333335</v>
      </c>
      <c r="AO27" s="173">
        <f>AO24-(3613.5+(AVERAGE(AM25:AR25)))</f>
        <v>2269.8333333333335</v>
      </c>
      <c r="AP27" s="173">
        <f>AP24-(3613.5+(AVERAGE(AM25:AR25)))</f>
        <v>2346.8333333333335</v>
      </c>
      <c r="AQ27" s="173">
        <f>AQ24-(3613.5+(AVERAGE(AM25:AR25)))</f>
        <v>2166.8333333333335</v>
      </c>
      <c r="AR27" s="174">
        <f>AR24-(3613.5+(AVERAGE(AM25:AR25)))</f>
        <v>2731.8333333333335</v>
      </c>
      <c r="AS27" s="178">
        <f>AVERAGE(AM27:AR27)</f>
        <v>2218.8333333333335</v>
      </c>
      <c r="AT27" s="99"/>
    </row>
    <row r="28" spans="1:46" ht="15.75" thickBot="1" x14ac:dyDescent="0.3">
      <c r="A28" s="101"/>
      <c r="B28" s="101"/>
      <c r="C28" s="101"/>
      <c r="D28" s="101"/>
      <c r="E28" s="101"/>
      <c r="F28" s="101"/>
      <c r="G28" s="101"/>
      <c r="H28" s="135"/>
      <c r="I28" s="101"/>
      <c r="J28" s="101"/>
      <c r="K28" s="101"/>
      <c r="L28" s="101"/>
      <c r="M28" s="101"/>
      <c r="N28" s="101"/>
      <c r="O28" s="135"/>
      <c r="P28" s="101"/>
      <c r="Q28" s="101"/>
      <c r="R28" s="101"/>
      <c r="S28" s="101"/>
      <c r="T28" s="101"/>
      <c r="U28" s="101"/>
      <c r="V28" s="135"/>
      <c r="W28" s="101"/>
      <c r="X28" s="179"/>
      <c r="Y28" s="179"/>
      <c r="Z28" s="179"/>
      <c r="AA28" s="179"/>
      <c r="AB28" s="179"/>
      <c r="AC28" s="179"/>
      <c r="AD28" s="179"/>
      <c r="AE28" s="180"/>
      <c r="AF28" s="179"/>
      <c r="AG28" s="179"/>
      <c r="AH28" s="179"/>
      <c r="AI28" s="179"/>
      <c r="AJ28" s="179"/>
      <c r="AK28" s="179"/>
      <c r="AL28" s="180"/>
      <c r="AM28" s="179"/>
      <c r="AN28" s="179"/>
      <c r="AO28" s="179"/>
      <c r="AP28" s="179"/>
      <c r="AQ28" s="179"/>
      <c r="AR28" s="179"/>
      <c r="AS28" s="180"/>
      <c r="AT28" s="99"/>
    </row>
    <row r="29" spans="1:46" x14ac:dyDescent="0.25">
      <c r="A29" s="213" t="s">
        <v>26</v>
      </c>
      <c r="B29" s="215" t="s">
        <v>6</v>
      </c>
      <c r="C29" s="216"/>
      <c r="D29" s="216"/>
      <c r="E29" s="216"/>
      <c r="F29" s="216"/>
      <c r="G29" s="217"/>
      <c r="H29" s="136"/>
      <c r="I29" s="215" t="s">
        <v>5</v>
      </c>
      <c r="J29" s="216"/>
      <c r="K29" s="216"/>
      <c r="L29" s="216"/>
      <c r="M29" s="216"/>
      <c r="N29" s="217"/>
      <c r="O29" s="136"/>
      <c r="P29" s="215" t="s">
        <v>4</v>
      </c>
      <c r="Q29" s="216"/>
      <c r="R29" s="216"/>
      <c r="S29" s="216"/>
      <c r="T29" s="216"/>
      <c r="U29" s="217"/>
      <c r="V29" s="136"/>
      <c r="W29" s="101"/>
      <c r="X29" s="218" t="s">
        <v>33</v>
      </c>
      <c r="Y29" s="210" t="s">
        <v>6</v>
      </c>
      <c r="Z29" s="211"/>
      <c r="AA29" s="211"/>
      <c r="AB29" s="211"/>
      <c r="AC29" s="211"/>
      <c r="AD29" s="212"/>
      <c r="AE29" s="181"/>
      <c r="AF29" s="210" t="s">
        <v>5</v>
      </c>
      <c r="AG29" s="211"/>
      <c r="AH29" s="211"/>
      <c r="AI29" s="211"/>
      <c r="AJ29" s="211"/>
      <c r="AK29" s="212"/>
      <c r="AL29" s="181"/>
      <c r="AM29" s="210" t="s">
        <v>4</v>
      </c>
      <c r="AN29" s="211"/>
      <c r="AO29" s="211"/>
      <c r="AP29" s="211"/>
      <c r="AQ29" s="211"/>
      <c r="AR29" s="212"/>
      <c r="AS29" s="181"/>
      <c r="AT29" s="99"/>
    </row>
    <row r="30" spans="1:46" ht="15.75" thickBot="1" x14ac:dyDescent="0.3">
      <c r="A30" s="214"/>
      <c r="B30" s="137">
        <v>1</v>
      </c>
      <c r="C30" s="103">
        <v>2</v>
      </c>
      <c r="D30" s="103">
        <v>3</v>
      </c>
      <c r="E30" s="103">
        <v>4</v>
      </c>
      <c r="F30" s="103">
        <v>5</v>
      </c>
      <c r="G30" s="104">
        <v>6</v>
      </c>
      <c r="H30" s="138"/>
      <c r="I30" s="102">
        <v>1</v>
      </c>
      <c r="J30" s="103">
        <v>2</v>
      </c>
      <c r="K30" s="103">
        <v>3</v>
      </c>
      <c r="L30" s="103">
        <v>4</v>
      </c>
      <c r="M30" s="103">
        <v>5</v>
      </c>
      <c r="N30" s="104">
        <v>6</v>
      </c>
      <c r="O30" s="138"/>
      <c r="P30" s="102">
        <v>1</v>
      </c>
      <c r="Q30" s="103">
        <v>2</v>
      </c>
      <c r="R30" s="103">
        <v>3</v>
      </c>
      <c r="S30" s="103">
        <v>4</v>
      </c>
      <c r="T30" s="103">
        <v>5</v>
      </c>
      <c r="U30" s="105">
        <v>6</v>
      </c>
      <c r="V30" s="138"/>
      <c r="W30" s="101"/>
      <c r="X30" s="219"/>
      <c r="Y30" s="182">
        <v>1</v>
      </c>
      <c r="Z30" s="147">
        <v>2</v>
      </c>
      <c r="AA30" s="147">
        <v>3</v>
      </c>
      <c r="AB30" s="147">
        <v>4</v>
      </c>
      <c r="AC30" s="147">
        <v>5</v>
      </c>
      <c r="AD30" s="148">
        <v>6</v>
      </c>
      <c r="AE30" s="183"/>
      <c r="AF30" s="146">
        <v>1</v>
      </c>
      <c r="AG30" s="147">
        <v>2</v>
      </c>
      <c r="AH30" s="147">
        <v>3</v>
      </c>
      <c r="AI30" s="147">
        <v>4</v>
      </c>
      <c r="AJ30" s="147">
        <v>5</v>
      </c>
      <c r="AK30" s="148">
        <v>6</v>
      </c>
      <c r="AL30" s="183"/>
      <c r="AM30" s="146">
        <v>1</v>
      </c>
      <c r="AN30" s="147">
        <v>2</v>
      </c>
      <c r="AO30" s="147">
        <v>3</v>
      </c>
      <c r="AP30" s="147">
        <v>4</v>
      </c>
      <c r="AQ30" s="147">
        <v>5</v>
      </c>
      <c r="AR30" s="149">
        <v>6</v>
      </c>
      <c r="AS30" s="183"/>
      <c r="AT30" s="99"/>
    </row>
    <row r="31" spans="1:46" x14ac:dyDescent="0.25">
      <c r="A31" s="113" t="s">
        <v>3</v>
      </c>
      <c r="B31" s="107">
        <v>20151</v>
      </c>
      <c r="C31" s="108">
        <v>9788</v>
      </c>
      <c r="D31" s="108">
        <v>24861</v>
      </c>
      <c r="E31" s="108">
        <v>9329</v>
      </c>
      <c r="F31" s="108">
        <v>13467</v>
      </c>
      <c r="G31" s="109">
        <v>14182</v>
      </c>
      <c r="H31" s="113">
        <f>AVERAGE(B31:G31)</f>
        <v>15296.333333333334</v>
      </c>
      <c r="I31" s="111">
        <v>8642</v>
      </c>
      <c r="J31" s="108">
        <v>10779</v>
      </c>
      <c r="K31" s="108">
        <v>9268</v>
      </c>
      <c r="L31" s="108">
        <v>5430</v>
      </c>
      <c r="M31" s="108">
        <v>5358</v>
      </c>
      <c r="N31" s="112">
        <v>5361</v>
      </c>
      <c r="O31" s="113">
        <f>AVERAGE(I31:N31)</f>
        <v>7473</v>
      </c>
      <c r="P31" s="111">
        <v>18115</v>
      </c>
      <c r="Q31" s="108">
        <v>10788</v>
      </c>
      <c r="R31" s="108">
        <v>15542</v>
      </c>
      <c r="S31" s="108">
        <v>9685</v>
      </c>
      <c r="T31" s="108">
        <v>8728</v>
      </c>
      <c r="U31" s="109">
        <v>8293</v>
      </c>
      <c r="V31" s="113">
        <f>AVERAGE(P31:U31)</f>
        <v>11858.5</v>
      </c>
      <c r="W31" s="101"/>
      <c r="X31" s="157" t="s">
        <v>3</v>
      </c>
      <c r="Y31" s="151">
        <v>6924</v>
      </c>
      <c r="Z31" s="152">
        <v>5612</v>
      </c>
      <c r="AA31" s="152">
        <v>10035</v>
      </c>
      <c r="AB31" s="152">
        <v>6349</v>
      </c>
      <c r="AC31" s="152">
        <v>6892</v>
      </c>
      <c r="AD31" s="153">
        <v>10431</v>
      </c>
      <c r="AE31" s="157">
        <f>AVERAGE(Y31:AD31)</f>
        <v>7707.166666666667</v>
      </c>
      <c r="AF31" s="155">
        <v>6142</v>
      </c>
      <c r="AG31" s="152">
        <v>5121</v>
      </c>
      <c r="AH31" s="152">
        <v>7177</v>
      </c>
      <c r="AI31" s="152">
        <v>5634</v>
      </c>
      <c r="AJ31" s="152">
        <v>6557</v>
      </c>
      <c r="AK31" s="156">
        <v>9849</v>
      </c>
      <c r="AL31" s="157">
        <f>AVERAGE(AF31:AK31)</f>
        <v>6746.666666666667</v>
      </c>
      <c r="AM31" s="155">
        <v>7662</v>
      </c>
      <c r="AN31" s="152">
        <v>5359</v>
      </c>
      <c r="AO31" s="152">
        <v>6222</v>
      </c>
      <c r="AP31" s="152">
        <v>5900</v>
      </c>
      <c r="AQ31" s="152">
        <v>6508</v>
      </c>
      <c r="AR31" s="153">
        <v>8973</v>
      </c>
      <c r="AS31" s="157">
        <f>AVERAGE(AM31:AR31)</f>
        <v>6770.666666666667</v>
      </c>
      <c r="AT31" s="99"/>
    </row>
    <row r="32" spans="1:46" x14ac:dyDescent="0.25">
      <c r="A32" s="126" t="s">
        <v>2</v>
      </c>
      <c r="B32" s="115">
        <v>79</v>
      </c>
      <c r="C32" s="116">
        <v>87</v>
      </c>
      <c r="D32" s="117">
        <v>71</v>
      </c>
      <c r="E32" s="117">
        <v>75</v>
      </c>
      <c r="F32" s="117">
        <v>74</v>
      </c>
      <c r="G32" s="118">
        <v>77</v>
      </c>
      <c r="H32" s="122">
        <f>AVERAGE(B32:G32)</f>
        <v>77.166666666666671</v>
      </c>
      <c r="I32" s="139">
        <v>79</v>
      </c>
      <c r="J32" s="116">
        <v>78</v>
      </c>
      <c r="K32" s="116">
        <v>94</v>
      </c>
      <c r="L32" s="116">
        <v>61</v>
      </c>
      <c r="M32" s="116">
        <v>79</v>
      </c>
      <c r="N32" s="140">
        <v>74</v>
      </c>
      <c r="O32" s="122">
        <f>AVERAGE(I32:N32)</f>
        <v>77.5</v>
      </c>
      <c r="P32" s="139">
        <v>78</v>
      </c>
      <c r="Q32" s="116">
        <v>76</v>
      </c>
      <c r="R32" s="116">
        <v>73</v>
      </c>
      <c r="S32" s="116">
        <v>76</v>
      </c>
      <c r="T32" s="116">
        <v>71</v>
      </c>
      <c r="U32" s="141">
        <v>66</v>
      </c>
      <c r="V32" s="122">
        <f>AVERAGE(P32:U32)</f>
        <v>73.333333333333329</v>
      </c>
      <c r="W32" s="101"/>
      <c r="X32" s="170" t="s">
        <v>2</v>
      </c>
      <c r="Y32" s="159">
        <v>72</v>
      </c>
      <c r="Z32" s="160">
        <v>83</v>
      </c>
      <c r="AA32" s="161">
        <v>70</v>
      </c>
      <c r="AB32" s="161">
        <v>72</v>
      </c>
      <c r="AC32" s="161">
        <v>82</v>
      </c>
      <c r="AD32" s="162">
        <v>72</v>
      </c>
      <c r="AE32" s="166">
        <f>AVERAGE(Y32:AD32)</f>
        <v>75.166666666666671</v>
      </c>
      <c r="AF32" s="184">
        <v>79</v>
      </c>
      <c r="AG32" s="160">
        <v>71</v>
      </c>
      <c r="AH32" s="160">
        <v>83</v>
      </c>
      <c r="AI32" s="160">
        <v>73</v>
      </c>
      <c r="AJ32" s="160">
        <v>83</v>
      </c>
      <c r="AK32" s="185">
        <v>84</v>
      </c>
      <c r="AL32" s="166">
        <f>AVERAGE(AF32:AK32)</f>
        <v>78.833333333333329</v>
      </c>
      <c r="AM32" s="184">
        <v>73</v>
      </c>
      <c r="AN32" s="160">
        <v>71</v>
      </c>
      <c r="AO32" s="160">
        <v>77</v>
      </c>
      <c r="AP32" s="160">
        <v>73</v>
      </c>
      <c r="AQ32" s="160">
        <v>87</v>
      </c>
      <c r="AR32" s="186">
        <v>83</v>
      </c>
      <c r="AS32" s="166">
        <f>AVERAGE(AM32:AR32)</f>
        <v>77.333333333333329</v>
      </c>
      <c r="AT32" s="99"/>
    </row>
    <row r="33" spans="1:46" ht="15.75" thickBot="1" x14ac:dyDescent="0.3">
      <c r="A33" s="138" t="s">
        <v>1</v>
      </c>
      <c r="B33" s="137">
        <v>3695</v>
      </c>
      <c r="C33" s="103">
        <v>3651</v>
      </c>
      <c r="D33" s="103">
        <v>3664</v>
      </c>
      <c r="E33" s="103">
        <v>3661</v>
      </c>
      <c r="F33" s="103">
        <v>3621</v>
      </c>
      <c r="G33" s="105">
        <v>3675</v>
      </c>
      <c r="H33" s="126"/>
      <c r="I33" s="142"/>
      <c r="J33" s="142"/>
      <c r="K33" s="142"/>
      <c r="L33" s="142"/>
      <c r="M33" s="142"/>
      <c r="N33" s="142"/>
      <c r="O33" s="126"/>
      <c r="P33" s="142"/>
      <c r="Q33" s="142"/>
      <c r="R33" s="142"/>
      <c r="S33" s="142"/>
      <c r="T33" s="142"/>
      <c r="U33" s="143"/>
      <c r="V33" s="126">
        <f>AVERAGE(B33:G33)</f>
        <v>3661.1666666666665</v>
      </c>
      <c r="W33" s="101"/>
      <c r="X33" s="183" t="s">
        <v>1</v>
      </c>
      <c r="Y33" s="182">
        <v>3695</v>
      </c>
      <c r="Z33" s="147">
        <v>3651</v>
      </c>
      <c r="AA33" s="147">
        <v>3664</v>
      </c>
      <c r="AB33" s="147">
        <v>3661</v>
      </c>
      <c r="AC33" s="147">
        <v>3621</v>
      </c>
      <c r="AD33" s="149">
        <v>3675</v>
      </c>
      <c r="AE33" s="170"/>
      <c r="AF33" s="187"/>
      <c r="AG33" s="187"/>
      <c r="AH33" s="187"/>
      <c r="AI33" s="187"/>
      <c r="AJ33" s="187"/>
      <c r="AK33" s="187"/>
      <c r="AL33" s="170"/>
      <c r="AM33" s="187"/>
      <c r="AN33" s="187"/>
      <c r="AO33" s="187"/>
      <c r="AP33" s="187"/>
      <c r="AQ33" s="187"/>
      <c r="AR33" s="188"/>
      <c r="AS33" s="170">
        <f>AVERAGE(Y33:AD33)</f>
        <v>3661.1666666666665</v>
      </c>
      <c r="AT33" s="99"/>
    </row>
    <row r="34" spans="1:46" ht="15.75" thickBot="1" x14ac:dyDescent="0.3">
      <c r="A34" s="127" t="s">
        <v>0</v>
      </c>
      <c r="B34" s="128">
        <f>B31-(3661.167+(AVERAGE(B32:G32)))</f>
        <v>16412.666333333334</v>
      </c>
      <c r="C34" s="129">
        <f>C31-(3661.167+(AVERAGE(B32:G32)))</f>
        <v>6049.6663333333336</v>
      </c>
      <c r="D34" s="129">
        <f>D31-(3661.167+(AVERAGE(B32:G32)))</f>
        <v>21122.666333333334</v>
      </c>
      <c r="E34" s="129">
        <f>E31-(3661.167+(AVERAGE(B32:G32)))</f>
        <v>5590.6663333333336</v>
      </c>
      <c r="F34" s="129">
        <f>F31-(3661.167+(AVERAGE(B32:G32)))</f>
        <v>9728.6663333333345</v>
      </c>
      <c r="G34" s="130">
        <f>G31-(3661.167+(AVERAGE(B32:G32)))</f>
        <v>10443.666333333334</v>
      </c>
      <c r="H34" s="134">
        <f>AVERAGE(B34:G34)</f>
        <v>11557.999666666668</v>
      </c>
      <c r="I34" s="128">
        <f>I31-(3661.167+(AVERAGE(I32:N32)))</f>
        <v>4903.3330000000005</v>
      </c>
      <c r="J34" s="129">
        <f>J31-(3661.167+(AVERAGE(I32:N32)))</f>
        <v>7040.3330000000005</v>
      </c>
      <c r="K34" s="129">
        <f>K31-(3661.167+(AVERAGE(I32:N32)))</f>
        <v>5529.3330000000005</v>
      </c>
      <c r="L34" s="129">
        <f>L31-(3661.167+(AVERAGE(I32:N32)))</f>
        <v>1691.3330000000001</v>
      </c>
      <c r="M34" s="129">
        <f>M31-(3661.167+(AVERAGE(I32:N32)))</f>
        <v>1619.3330000000001</v>
      </c>
      <c r="N34" s="130">
        <f>N31-(3661.167+(AVERAGE(I32:N32)))</f>
        <v>1622.3330000000001</v>
      </c>
      <c r="O34" s="134">
        <f>AVERAGE(I34:N34)</f>
        <v>3734.3330000000001</v>
      </c>
      <c r="P34" s="128">
        <f>P31-(3661.167+(AVERAGE(P32:U32)))</f>
        <v>14380.499666666667</v>
      </c>
      <c r="Q34" s="129">
        <f>Q31-(3661.167+(AVERAGE(P32:U32)))</f>
        <v>7053.4996666666666</v>
      </c>
      <c r="R34" s="129">
        <f>R31-(3661.167+(AVERAGE(P32:U32)))</f>
        <v>11807.499666666667</v>
      </c>
      <c r="S34" s="129">
        <f>S31-(3661.167+(AVERAGE(P32:U32)))</f>
        <v>5950.4996666666666</v>
      </c>
      <c r="T34" s="129">
        <f>T31-(3661.167+(AVERAGE(P32:U32)))</f>
        <v>4993.4996666666666</v>
      </c>
      <c r="U34" s="130">
        <f>U31-(3661.167+(AVERAGE(P32:U32)))</f>
        <v>4558.4996666666666</v>
      </c>
      <c r="V34" s="134">
        <f>AVERAGE(P34:U34)</f>
        <v>8123.9996666666675</v>
      </c>
      <c r="W34" s="101"/>
      <c r="X34" s="171" t="s">
        <v>0</v>
      </c>
      <c r="Y34" s="172">
        <f>Y31-(3661.167+(AVERAGE(Y32:AD32)))</f>
        <v>3187.6663333333336</v>
      </c>
      <c r="Z34" s="173">
        <f>Z31-(3661.167+(AVERAGE(Y32:AD32)))</f>
        <v>1875.6663333333336</v>
      </c>
      <c r="AA34" s="173">
        <f>AA31-(3661.167+(AVERAGE(Y32:AD32)))</f>
        <v>6298.6663333333336</v>
      </c>
      <c r="AB34" s="173">
        <f>AB31-(3661.167+(AVERAGE(Y32:AD32)))</f>
        <v>2612.6663333333336</v>
      </c>
      <c r="AC34" s="173">
        <f>AC31-(3661.167+(AVERAGE(Y32:AD32)))</f>
        <v>3155.6663333333336</v>
      </c>
      <c r="AD34" s="174">
        <f>AD31-(3661.167+(AVERAGE(Y32:AD32)))</f>
        <v>6694.6663333333336</v>
      </c>
      <c r="AE34" s="178">
        <f>AVERAGE(Y34:AD34)</f>
        <v>3970.8330000000005</v>
      </c>
      <c r="AF34" s="172">
        <f>AF31-(3661.167+(AVERAGE(AF32:AK32)))</f>
        <v>2401.9996666666666</v>
      </c>
      <c r="AG34" s="173">
        <f>AG31-(3661.167+(AVERAGE(AF32:AK32)))</f>
        <v>1380.9996666666666</v>
      </c>
      <c r="AH34" s="173">
        <f>AH31-(3661.167+(AVERAGE(AF32:AK32)))</f>
        <v>3436.9996666666666</v>
      </c>
      <c r="AI34" s="173">
        <f>AI31-(3661.167+(AVERAGE(AF32:AK32)))</f>
        <v>1893.9996666666666</v>
      </c>
      <c r="AJ34" s="173">
        <f>AJ31-(3661.167+(AVERAGE(AF32:AK32)))</f>
        <v>2816.9996666666666</v>
      </c>
      <c r="AK34" s="174">
        <f>AK31-(3661.167+(AVERAGE(AF32:AK32)))</f>
        <v>6108.9996666666666</v>
      </c>
      <c r="AL34" s="178">
        <f>AVERAGE(AF34:AK34)</f>
        <v>3006.6663333333331</v>
      </c>
      <c r="AM34" s="172">
        <f>AM31-(3661.167+(AVERAGE(AM32:AR32)))</f>
        <v>3923.4996666666666</v>
      </c>
      <c r="AN34" s="173">
        <f>AN31-(3661.167+(AVERAGE(AM32:AR32)))</f>
        <v>1620.4996666666666</v>
      </c>
      <c r="AO34" s="173">
        <f>AO31-(3661.167+(AVERAGE(AM32:AR32)))</f>
        <v>2483.4996666666666</v>
      </c>
      <c r="AP34" s="173">
        <f>AP31-(3661.167+(AVERAGE(AM32:AR32)))</f>
        <v>2161.4996666666666</v>
      </c>
      <c r="AQ34" s="173">
        <f>AQ31-(3661.167+(AVERAGE(AM32:AR32)))</f>
        <v>2769.4996666666666</v>
      </c>
      <c r="AR34" s="174">
        <f>AR31-(3661.167+(AVERAGE(AM32:AR32)))</f>
        <v>5234.4996666666666</v>
      </c>
      <c r="AS34" s="178">
        <f>AVERAGE(AM34:AR34)</f>
        <v>3032.1663333333331</v>
      </c>
      <c r="AT34" s="99"/>
    </row>
    <row r="35" spans="1:46" ht="15.75" thickBot="1" x14ac:dyDescent="0.3">
      <c r="A35" s="101"/>
      <c r="B35" s="101"/>
      <c r="C35" s="101"/>
      <c r="D35" s="101"/>
      <c r="E35" s="101"/>
      <c r="F35" s="101"/>
      <c r="G35" s="101"/>
      <c r="H35" s="135"/>
      <c r="I35" s="101"/>
      <c r="J35" s="101"/>
      <c r="K35" s="101"/>
      <c r="L35" s="101"/>
      <c r="M35" s="101"/>
      <c r="N35" s="101"/>
      <c r="O35" s="135"/>
      <c r="P35" s="101"/>
      <c r="Q35" s="101"/>
      <c r="R35" s="101"/>
      <c r="S35" s="101"/>
      <c r="T35" s="101"/>
      <c r="U35" s="101"/>
      <c r="V35" s="135"/>
      <c r="W35" s="101"/>
      <c r="X35" s="179"/>
      <c r="Y35" s="179"/>
      <c r="Z35" s="179"/>
      <c r="AA35" s="179"/>
      <c r="AB35" s="179"/>
      <c r="AC35" s="179"/>
      <c r="AD35" s="179"/>
      <c r="AE35" s="180"/>
      <c r="AF35" s="179"/>
      <c r="AG35" s="179"/>
      <c r="AH35" s="179"/>
      <c r="AI35" s="179"/>
      <c r="AJ35" s="179"/>
      <c r="AK35" s="179"/>
      <c r="AL35" s="180"/>
      <c r="AM35" s="179"/>
      <c r="AN35" s="179"/>
      <c r="AO35" s="179"/>
      <c r="AP35" s="179"/>
      <c r="AQ35" s="179"/>
      <c r="AR35" s="179"/>
      <c r="AS35" s="180"/>
      <c r="AT35" s="99"/>
    </row>
    <row r="36" spans="1:46" x14ac:dyDescent="0.25">
      <c r="A36" s="213" t="s">
        <v>27</v>
      </c>
      <c r="B36" s="215" t="s">
        <v>6</v>
      </c>
      <c r="C36" s="216"/>
      <c r="D36" s="216"/>
      <c r="E36" s="216"/>
      <c r="F36" s="216"/>
      <c r="G36" s="217"/>
      <c r="H36" s="136"/>
      <c r="I36" s="215" t="s">
        <v>5</v>
      </c>
      <c r="J36" s="216"/>
      <c r="K36" s="216"/>
      <c r="L36" s="216"/>
      <c r="M36" s="216"/>
      <c r="N36" s="217"/>
      <c r="O36" s="136"/>
      <c r="P36" s="215" t="s">
        <v>4</v>
      </c>
      <c r="Q36" s="216"/>
      <c r="R36" s="216"/>
      <c r="S36" s="216"/>
      <c r="T36" s="216"/>
      <c r="U36" s="217"/>
      <c r="V36" s="136"/>
      <c r="W36" s="101"/>
      <c r="X36" s="218" t="s">
        <v>34</v>
      </c>
      <c r="Y36" s="210" t="s">
        <v>6</v>
      </c>
      <c r="Z36" s="211"/>
      <c r="AA36" s="211"/>
      <c r="AB36" s="211"/>
      <c r="AC36" s="211"/>
      <c r="AD36" s="212"/>
      <c r="AE36" s="181"/>
      <c r="AF36" s="210" t="s">
        <v>5</v>
      </c>
      <c r="AG36" s="211"/>
      <c r="AH36" s="211"/>
      <c r="AI36" s="211"/>
      <c r="AJ36" s="211"/>
      <c r="AK36" s="212"/>
      <c r="AL36" s="181"/>
      <c r="AM36" s="210" t="s">
        <v>4</v>
      </c>
      <c r="AN36" s="211"/>
      <c r="AO36" s="211"/>
      <c r="AP36" s="211"/>
      <c r="AQ36" s="211"/>
      <c r="AR36" s="212"/>
      <c r="AS36" s="181"/>
      <c r="AT36" s="99"/>
    </row>
    <row r="37" spans="1:46" ht="15.75" thickBot="1" x14ac:dyDescent="0.3">
      <c r="A37" s="214"/>
      <c r="B37" s="137">
        <v>1</v>
      </c>
      <c r="C37" s="103">
        <v>2</v>
      </c>
      <c r="D37" s="103">
        <v>3</v>
      </c>
      <c r="E37" s="103">
        <v>4</v>
      </c>
      <c r="F37" s="103">
        <v>5</v>
      </c>
      <c r="G37" s="104">
        <v>6</v>
      </c>
      <c r="H37" s="138"/>
      <c r="I37" s="102">
        <v>1</v>
      </c>
      <c r="J37" s="103">
        <v>2</v>
      </c>
      <c r="K37" s="103">
        <v>3</v>
      </c>
      <c r="L37" s="103">
        <v>4</v>
      </c>
      <c r="M37" s="103">
        <v>5</v>
      </c>
      <c r="N37" s="104">
        <v>6</v>
      </c>
      <c r="O37" s="138"/>
      <c r="P37" s="102">
        <v>1</v>
      </c>
      <c r="Q37" s="103">
        <v>2</v>
      </c>
      <c r="R37" s="103">
        <v>3</v>
      </c>
      <c r="S37" s="103">
        <v>4</v>
      </c>
      <c r="T37" s="103">
        <v>5</v>
      </c>
      <c r="U37" s="105">
        <v>6</v>
      </c>
      <c r="V37" s="138"/>
      <c r="W37" s="101"/>
      <c r="X37" s="219"/>
      <c r="Y37" s="182">
        <v>1</v>
      </c>
      <c r="Z37" s="147">
        <v>2</v>
      </c>
      <c r="AA37" s="147">
        <v>3</v>
      </c>
      <c r="AB37" s="147">
        <v>4</v>
      </c>
      <c r="AC37" s="147">
        <v>5</v>
      </c>
      <c r="AD37" s="148">
        <v>6</v>
      </c>
      <c r="AE37" s="183"/>
      <c r="AF37" s="146">
        <v>1</v>
      </c>
      <c r="AG37" s="147">
        <v>2</v>
      </c>
      <c r="AH37" s="147">
        <v>3</v>
      </c>
      <c r="AI37" s="147">
        <v>4</v>
      </c>
      <c r="AJ37" s="147">
        <v>5</v>
      </c>
      <c r="AK37" s="148">
        <v>6</v>
      </c>
      <c r="AL37" s="183"/>
      <c r="AM37" s="146">
        <v>1</v>
      </c>
      <c r="AN37" s="147">
        <v>2</v>
      </c>
      <c r="AO37" s="147">
        <v>3</v>
      </c>
      <c r="AP37" s="147">
        <v>4</v>
      </c>
      <c r="AQ37" s="147">
        <v>5</v>
      </c>
      <c r="AR37" s="149">
        <v>6</v>
      </c>
      <c r="AS37" s="183"/>
      <c r="AT37" s="99"/>
    </row>
    <row r="38" spans="1:46" x14ac:dyDescent="0.25">
      <c r="A38" s="113" t="s">
        <v>3</v>
      </c>
      <c r="B38" s="107">
        <v>16319</v>
      </c>
      <c r="C38" s="108">
        <v>15527</v>
      </c>
      <c r="D38" s="108">
        <v>17559</v>
      </c>
      <c r="E38" s="108">
        <v>13081</v>
      </c>
      <c r="F38" s="108">
        <v>15911</v>
      </c>
      <c r="G38" s="109">
        <v>24152</v>
      </c>
      <c r="H38" s="110">
        <f>AVERAGE(B38:G38)</f>
        <v>17091.5</v>
      </c>
      <c r="I38" s="111">
        <v>9375</v>
      </c>
      <c r="J38" s="108">
        <v>8515</v>
      </c>
      <c r="K38" s="108">
        <v>7058</v>
      </c>
      <c r="L38" s="108">
        <v>6746</v>
      </c>
      <c r="M38" s="108">
        <v>6426</v>
      </c>
      <c r="N38" s="112">
        <v>6739</v>
      </c>
      <c r="O38" s="113">
        <f>AVERAGE(I38:N38)</f>
        <v>7476.5</v>
      </c>
      <c r="P38" s="111">
        <v>41000</v>
      </c>
      <c r="Q38" s="108">
        <v>16794</v>
      </c>
      <c r="R38" s="108">
        <v>18159</v>
      </c>
      <c r="S38" s="108">
        <v>11409</v>
      </c>
      <c r="T38" s="108">
        <v>11772</v>
      </c>
      <c r="U38" s="109">
        <v>12334</v>
      </c>
      <c r="V38" s="113">
        <f>AVERAGE(P38:U38)</f>
        <v>18578</v>
      </c>
      <c r="W38" s="101"/>
      <c r="X38" s="157" t="s">
        <v>3</v>
      </c>
      <c r="Y38" s="151">
        <v>6986</v>
      </c>
      <c r="Z38" s="152">
        <v>6897</v>
      </c>
      <c r="AA38" s="152">
        <v>8357</v>
      </c>
      <c r="AB38" s="152">
        <v>8293</v>
      </c>
      <c r="AC38" s="152">
        <v>6533</v>
      </c>
      <c r="AD38" s="153">
        <v>12022</v>
      </c>
      <c r="AE38" s="154">
        <f>AVERAGE(Y38:AD38)</f>
        <v>8181.333333333333</v>
      </c>
      <c r="AF38" s="155">
        <v>8201</v>
      </c>
      <c r="AG38" s="152">
        <v>6097</v>
      </c>
      <c r="AH38" s="152">
        <v>7330</v>
      </c>
      <c r="AI38" s="152">
        <v>6584</v>
      </c>
      <c r="AJ38" s="152">
        <v>9212</v>
      </c>
      <c r="AK38" s="156">
        <v>6236</v>
      </c>
      <c r="AL38" s="157">
        <f>AVERAGE(AF38:AK38)</f>
        <v>7276.666666666667</v>
      </c>
      <c r="AM38" s="155">
        <v>5347</v>
      </c>
      <c r="AN38" s="152">
        <v>7664</v>
      </c>
      <c r="AO38" s="152">
        <v>6199</v>
      </c>
      <c r="AP38" s="152">
        <v>6319</v>
      </c>
      <c r="AQ38" s="152">
        <v>6088</v>
      </c>
      <c r="AR38" s="153">
        <v>6887</v>
      </c>
      <c r="AS38" s="157">
        <f>AVERAGE(AM38:AR38)</f>
        <v>6417.333333333333</v>
      </c>
      <c r="AT38" s="99"/>
    </row>
    <row r="39" spans="1:46" x14ac:dyDescent="0.25">
      <c r="A39" s="126" t="s">
        <v>2</v>
      </c>
      <c r="B39" s="115">
        <v>73</v>
      </c>
      <c r="C39" s="116">
        <v>87</v>
      </c>
      <c r="D39" s="117">
        <v>78</v>
      </c>
      <c r="E39" s="117">
        <v>74</v>
      </c>
      <c r="F39" s="117">
        <v>76</v>
      </c>
      <c r="G39" s="118">
        <v>71</v>
      </c>
      <c r="H39" s="119">
        <f>AVERAGE(B39:G39)</f>
        <v>76.5</v>
      </c>
      <c r="I39" s="139">
        <v>83</v>
      </c>
      <c r="J39" s="116">
        <v>82</v>
      </c>
      <c r="K39" s="116">
        <v>77</v>
      </c>
      <c r="L39" s="116">
        <v>74</v>
      </c>
      <c r="M39" s="116">
        <v>80</v>
      </c>
      <c r="N39" s="140">
        <v>75</v>
      </c>
      <c r="O39" s="122">
        <f>AVERAGE(I39:N39)</f>
        <v>78.5</v>
      </c>
      <c r="P39" s="139">
        <v>71</v>
      </c>
      <c r="Q39" s="116">
        <v>65</v>
      </c>
      <c r="R39" s="116">
        <v>86</v>
      </c>
      <c r="S39" s="116">
        <v>73</v>
      </c>
      <c r="T39" s="116">
        <v>74</v>
      </c>
      <c r="U39" s="141">
        <v>81</v>
      </c>
      <c r="V39" s="122">
        <f>AVERAGE(P39:U39)</f>
        <v>75</v>
      </c>
      <c r="W39" s="101"/>
      <c r="X39" s="170" t="s">
        <v>2</v>
      </c>
      <c r="Y39" s="159">
        <v>75</v>
      </c>
      <c r="Z39" s="160">
        <v>82</v>
      </c>
      <c r="AA39" s="161">
        <v>78</v>
      </c>
      <c r="AB39" s="161">
        <v>75</v>
      </c>
      <c r="AC39" s="161">
        <v>92</v>
      </c>
      <c r="AD39" s="162">
        <v>78</v>
      </c>
      <c r="AE39" s="163">
        <f>AVERAGE(Y39:AD39)</f>
        <v>80</v>
      </c>
      <c r="AF39" s="184">
        <v>75</v>
      </c>
      <c r="AG39" s="160">
        <v>82</v>
      </c>
      <c r="AH39" s="160">
        <v>73</v>
      </c>
      <c r="AI39" s="160">
        <v>67</v>
      </c>
      <c r="AJ39" s="160">
        <v>74</v>
      </c>
      <c r="AK39" s="185">
        <v>77</v>
      </c>
      <c r="AL39" s="166">
        <f>AVERAGE(AF39:AK39)</f>
        <v>74.666666666666671</v>
      </c>
      <c r="AM39" s="184">
        <v>76</v>
      </c>
      <c r="AN39" s="160">
        <v>68</v>
      </c>
      <c r="AO39" s="160">
        <v>77</v>
      </c>
      <c r="AP39" s="160">
        <v>81</v>
      </c>
      <c r="AQ39" s="160">
        <v>85</v>
      </c>
      <c r="AR39" s="186">
        <v>82</v>
      </c>
      <c r="AS39" s="166">
        <f>AVERAGE(AM39:AR39)</f>
        <v>78.166666666666671</v>
      </c>
      <c r="AT39" s="99"/>
    </row>
    <row r="40" spans="1:46" ht="15.75" thickBot="1" x14ac:dyDescent="0.3">
      <c r="A40" s="138" t="s">
        <v>1</v>
      </c>
      <c r="B40" s="137">
        <v>3696</v>
      </c>
      <c r="C40" s="103">
        <v>3652</v>
      </c>
      <c r="D40" s="103">
        <v>3662</v>
      </c>
      <c r="E40" s="103">
        <v>3647</v>
      </c>
      <c r="F40" s="103">
        <v>3669</v>
      </c>
      <c r="G40" s="105">
        <v>3641</v>
      </c>
      <c r="H40" s="143"/>
      <c r="I40" s="142"/>
      <c r="J40" s="142"/>
      <c r="K40" s="142"/>
      <c r="L40" s="142"/>
      <c r="M40" s="142"/>
      <c r="N40" s="142"/>
      <c r="O40" s="126"/>
      <c r="P40" s="142"/>
      <c r="Q40" s="142"/>
      <c r="R40" s="142"/>
      <c r="S40" s="142"/>
      <c r="T40" s="142"/>
      <c r="U40" s="143"/>
      <c r="V40" s="126">
        <f>AVERAGE(B40:G40)</f>
        <v>3661.1666666666665</v>
      </c>
      <c r="W40" s="101"/>
      <c r="X40" s="183" t="s">
        <v>1</v>
      </c>
      <c r="Y40" s="182">
        <v>3696</v>
      </c>
      <c r="Z40" s="147">
        <v>3652</v>
      </c>
      <c r="AA40" s="147">
        <v>3662</v>
      </c>
      <c r="AB40" s="147">
        <v>3647</v>
      </c>
      <c r="AC40" s="147">
        <v>3669</v>
      </c>
      <c r="AD40" s="149">
        <v>3641</v>
      </c>
      <c r="AE40" s="188"/>
      <c r="AF40" s="187"/>
      <c r="AG40" s="187"/>
      <c r="AH40" s="187"/>
      <c r="AI40" s="187"/>
      <c r="AJ40" s="187"/>
      <c r="AK40" s="187"/>
      <c r="AL40" s="170"/>
      <c r="AM40" s="187"/>
      <c r="AN40" s="187"/>
      <c r="AO40" s="187"/>
      <c r="AP40" s="187"/>
      <c r="AQ40" s="187"/>
      <c r="AR40" s="188"/>
      <c r="AS40" s="170">
        <f>AVERAGE(Y40:AD40)</f>
        <v>3661.1666666666665</v>
      </c>
      <c r="AT40" s="99"/>
    </row>
    <row r="41" spans="1:46" ht="15.75" thickBot="1" x14ac:dyDescent="0.3">
      <c r="A41" s="144" t="s">
        <v>0</v>
      </c>
      <c r="B41" s="128">
        <f>B38-(3661.167+(AVERAGE(B39:G39)))</f>
        <v>12581.333000000001</v>
      </c>
      <c r="C41" s="129">
        <f>C38-(3661.167+(AVERAGE(B39:G39)))</f>
        <v>11789.333000000001</v>
      </c>
      <c r="D41" s="129">
        <f>D38-(3661.167+(AVERAGE(B39:G39)))</f>
        <v>13821.333000000001</v>
      </c>
      <c r="E41" s="129">
        <f>E38-(3661.167+(AVERAGE(B39:G39)))</f>
        <v>9343.3330000000005</v>
      </c>
      <c r="F41" s="129">
        <f>F38-(3661.167+(AVERAGE(B39:G39)))</f>
        <v>12173.333000000001</v>
      </c>
      <c r="G41" s="133">
        <f>G38-(3661.167+(AVERAGE(B39:G39)))</f>
        <v>20414.332999999999</v>
      </c>
      <c r="H41" s="145">
        <f>AVERAGE(B41:G41)</f>
        <v>13353.832999999999</v>
      </c>
      <c r="I41" s="128">
        <f>I38-(3661.167+(AVERAGE(I39:N39)))</f>
        <v>5635.3330000000005</v>
      </c>
      <c r="J41" s="129">
        <f>J38-(3661.167+(AVERAGE(I39:N39)))</f>
        <v>4775.3330000000005</v>
      </c>
      <c r="K41" s="129">
        <f>K38-(3661.167+(AVERAGE(I39:N39)))</f>
        <v>3318.3330000000001</v>
      </c>
      <c r="L41" s="129">
        <f>L38-(3661.167+(AVERAGE(I39:N39)))</f>
        <v>3006.3330000000001</v>
      </c>
      <c r="M41" s="129">
        <f>M38-(3661.167+(AVERAGE(I39:N39)))</f>
        <v>2686.3330000000001</v>
      </c>
      <c r="N41" s="133">
        <f>N38-(3661.167+(AVERAGE(I39:N39)))</f>
        <v>2999.3330000000001</v>
      </c>
      <c r="O41" s="134">
        <f>AVERAGE(I41:N41)</f>
        <v>3736.8330000000001</v>
      </c>
      <c r="P41" s="128">
        <f>P38-(3661.167+(AVERAGE(P39:U39)))</f>
        <v>37263.832999999999</v>
      </c>
      <c r="Q41" s="129">
        <f>Q38-(3661.167+(AVERAGE(P39:U39)))</f>
        <v>13057.833000000001</v>
      </c>
      <c r="R41" s="129">
        <f>R38-(3661.167+(AVERAGE(P39:U39)))</f>
        <v>14422.833000000001</v>
      </c>
      <c r="S41" s="129">
        <f>S38-(3661.167+(AVERAGE(P39:U39)))</f>
        <v>7672.8330000000005</v>
      </c>
      <c r="T41" s="129">
        <f>T38-(3661.167+(AVERAGE(P39:U39)))</f>
        <v>8035.8330000000005</v>
      </c>
      <c r="U41" s="133">
        <f>U38-(3661.167+(AVERAGE(P39:U39)))</f>
        <v>8597.8330000000005</v>
      </c>
      <c r="V41" s="134">
        <f>AVERAGE(P41:U41)</f>
        <v>14841.832999999999</v>
      </c>
      <c r="W41" s="101"/>
      <c r="X41" s="189" t="s">
        <v>0</v>
      </c>
      <c r="Y41" s="172">
        <f>Y38-(3661.167+(AVERAGE(Y39:AD39)))</f>
        <v>3244.8330000000001</v>
      </c>
      <c r="Z41" s="173">
        <f>Z38-(3661.167+(AVERAGE(Y39:AD39)))</f>
        <v>3155.8330000000001</v>
      </c>
      <c r="AA41" s="173">
        <f>AA38-(3661.167+(AVERAGE(Y39:AD39)))</f>
        <v>4615.8330000000005</v>
      </c>
      <c r="AB41" s="173">
        <f>AB38-(3661.167+(AVERAGE(Y39:AD39)))</f>
        <v>4551.8330000000005</v>
      </c>
      <c r="AC41" s="173">
        <f>AC38-(3661.167+(AVERAGE(Y39:AD39)))</f>
        <v>2791.8330000000001</v>
      </c>
      <c r="AD41" s="177">
        <f>AD38-(3661.167+(AVERAGE(Y39:AD39)))</f>
        <v>8280.8330000000005</v>
      </c>
      <c r="AE41" s="190">
        <f>AVERAGE(Y41:AD41)</f>
        <v>4440.1663333333336</v>
      </c>
      <c r="AF41" s="172">
        <f>AF38-(3661.167+(AVERAGE(AF39:AK39)))</f>
        <v>4465.1663333333336</v>
      </c>
      <c r="AG41" s="173">
        <f>AG38-(3661.167+(AVERAGE(AF39:AK39)))</f>
        <v>2361.1663333333336</v>
      </c>
      <c r="AH41" s="173">
        <f>AH38-(3661.167+(AVERAGE(AF39:AK39)))</f>
        <v>3594.1663333333336</v>
      </c>
      <c r="AI41" s="173">
        <f>AI38-(3661.167+(AVERAGE(AF39:AK39)))</f>
        <v>2848.1663333333336</v>
      </c>
      <c r="AJ41" s="173">
        <f>AJ38-(3661.167+(AVERAGE(AF39:AK39)))</f>
        <v>5476.1663333333336</v>
      </c>
      <c r="AK41" s="177">
        <f>AK38-(3661.167+(AVERAGE(AF39:AK39)))</f>
        <v>2500.1663333333336</v>
      </c>
      <c r="AL41" s="178">
        <f>AVERAGE(AF41:AK41)</f>
        <v>3540.8330000000005</v>
      </c>
      <c r="AM41" s="172">
        <f>AM38-(3661.167+(AVERAGE(AM39:AR39)))</f>
        <v>1607.6663333333336</v>
      </c>
      <c r="AN41" s="173">
        <f>AN38-(3661.167+(AVERAGE(AM39:AR39)))</f>
        <v>3924.6663333333336</v>
      </c>
      <c r="AO41" s="173">
        <f>AO38-(3661.167+(AVERAGE(AM39:AR39)))</f>
        <v>2459.6663333333336</v>
      </c>
      <c r="AP41" s="173">
        <f>AP38-(3661.167+(AVERAGE(AM39:AR39)))</f>
        <v>2579.6663333333336</v>
      </c>
      <c r="AQ41" s="173">
        <f>AQ38-(3661.167+(AVERAGE(AM39:AR39)))</f>
        <v>2348.6663333333336</v>
      </c>
      <c r="AR41" s="177">
        <f>AR38-(3661.167+(AVERAGE(AM39:AR39)))</f>
        <v>3147.6663333333336</v>
      </c>
      <c r="AS41" s="178">
        <f>AVERAGE(AM41:AR41)</f>
        <v>2677.9996666666671</v>
      </c>
      <c r="AT41" s="99"/>
    </row>
    <row r="42" spans="1:46" ht="15.75" thickBot="1" x14ac:dyDescent="0.3">
      <c r="A42" s="101"/>
      <c r="B42" s="101"/>
      <c r="C42" s="101"/>
      <c r="D42" s="101"/>
      <c r="E42" s="101"/>
      <c r="F42" s="101"/>
      <c r="G42" s="101"/>
      <c r="H42" s="135"/>
      <c r="I42" s="101"/>
      <c r="J42" s="101"/>
      <c r="K42" s="101"/>
      <c r="L42" s="101"/>
      <c r="M42" s="101"/>
      <c r="N42" s="101"/>
      <c r="O42" s="135"/>
      <c r="P42" s="101"/>
      <c r="Q42" s="101"/>
      <c r="R42" s="101"/>
      <c r="S42" s="101"/>
      <c r="T42" s="101"/>
      <c r="U42" s="101"/>
      <c r="V42" s="135"/>
      <c r="W42" s="101"/>
      <c r="X42" s="179"/>
      <c r="Y42" s="179"/>
      <c r="Z42" s="179"/>
      <c r="AA42" s="179"/>
      <c r="AB42" s="179"/>
      <c r="AC42" s="179"/>
      <c r="AD42" s="179"/>
      <c r="AE42" s="180"/>
      <c r="AF42" s="179"/>
      <c r="AG42" s="179"/>
      <c r="AH42" s="179"/>
      <c r="AI42" s="179"/>
      <c r="AJ42" s="179"/>
      <c r="AK42" s="179"/>
      <c r="AL42" s="180"/>
      <c r="AM42" s="179"/>
      <c r="AN42" s="179"/>
      <c r="AO42" s="179"/>
      <c r="AP42" s="179"/>
      <c r="AQ42" s="179"/>
      <c r="AR42" s="179"/>
      <c r="AS42" s="180"/>
      <c r="AT42" s="99"/>
    </row>
    <row r="43" spans="1:46" x14ac:dyDescent="0.25">
      <c r="A43" s="213" t="s">
        <v>28</v>
      </c>
      <c r="B43" s="215" t="s">
        <v>6</v>
      </c>
      <c r="C43" s="216"/>
      <c r="D43" s="216"/>
      <c r="E43" s="216"/>
      <c r="F43" s="216"/>
      <c r="G43" s="217"/>
      <c r="H43" s="136"/>
      <c r="I43" s="215" t="s">
        <v>5</v>
      </c>
      <c r="J43" s="216"/>
      <c r="K43" s="216"/>
      <c r="L43" s="216"/>
      <c r="M43" s="216"/>
      <c r="N43" s="217"/>
      <c r="O43" s="136"/>
      <c r="P43" s="215" t="s">
        <v>4</v>
      </c>
      <c r="Q43" s="216"/>
      <c r="R43" s="216"/>
      <c r="S43" s="216"/>
      <c r="T43" s="216"/>
      <c r="U43" s="217"/>
      <c r="V43" s="136"/>
      <c r="W43" s="101"/>
      <c r="X43" s="218" t="s">
        <v>35</v>
      </c>
      <c r="Y43" s="210" t="s">
        <v>6</v>
      </c>
      <c r="Z43" s="211"/>
      <c r="AA43" s="211"/>
      <c r="AB43" s="211"/>
      <c r="AC43" s="211"/>
      <c r="AD43" s="212"/>
      <c r="AE43" s="181"/>
      <c r="AF43" s="210" t="s">
        <v>5</v>
      </c>
      <c r="AG43" s="211"/>
      <c r="AH43" s="211"/>
      <c r="AI43" s="211"/>
      <c r="AJ43" s="211"/>
      <c r="AK43" s="212"/>
      <c r="AL43" s="181"/>
      <c r="AM43" s="210" t="s">
        <v>4</v>
      </c>
      <c r="AN43" s="211"/>
      <c r="AO43" s="211"/>
      <c r="AP43" s="211"/>
      <c r="AQ43" s="211"/>
      <c r="AR43" s="212"/>
      <c r="AS43" s="181"/>
      <c r="AT43" s="99"/>
    </row>
    <row r="44" spans="1:46" ht="15.75" thickBot="1" x14ac:dyDescent="0.3">
      <c r="A44" s="214"/>
      <c r="B44" s="137">
        <v>1</v>
      </c>
      <c r="C44" s="103">
        <v>2</v>
      </c>
      <c r="D44" s="103">
        <v>3</v>
      </c>
      <c r="E44" s="103">
        <v>4</v>
      </c>
      <c r="F44" s="103">
        <v>5</v>
      </c>
      <c r="G44" s="104">
        <v>6</v>
      </c>
      <c r="H44" s="138"/>
      <c r="I44" s="102">
        <v>1</v>
      </c>
      <c r="J44" s="103">
        <v>2</v>
      </c>
      <c r="K44" s="103">
        <v>3</v>
      </c>
      <c r="L44" s="103">
        <v>4</v>
      </c>
      <c r="M44" s="103">
        <v>5</v>
      </c>
      <c r="N44" s="104">
        <v>6</v>
      </c>
      <c r="O44" s="138"/>
      <c r="P44" s="102">
        <v>1</v>
      </c>
      <c r="Q44" s="103">
        <v>2</v>
      </c>
      <c r="R44" s="103">
        <v>3</v>
      </c>
      <c r="S44" s="103">
        <v>4</v>
      </c>
      <c r="T44" s="103">
        <v>5</v>
      </c>
      <c r="U44" s="105">
        <v>6</v>
      </c>
      <c r="V44" s="138"/>
      <c r="W44" s="101"/>
      <c r="X44" s="219"/>
      <c r="Y44" s="182">
        <v>1</v>
      </c>
      <c r="Z44" s="147">
        <v>2</v>
      </c>
      <c r="AA44" s="147">
        <v>3</v>
      </c>
      <c r="AB44" s="147">
        <v>4</v>
      </c>
      <c r="AC44" s="147">
        <v>5</v>
      </c>
      <c r="AD44" s="148">
        <v>6</v>
      </c>
      <c r="AE44" s="183"/>
      <c r="AF44" s="146">
        <v>1</v>
      </c>
      <c r="AG44" s="147">
        <v>2</v>
      </c>
      <c r="AH44" s="147">
        <v>3</v>
      </c>
      <c r="AI44" s="147">
        <v>4</v>
      </c>
      <c r="AJ44" s="147">
        <v>5</v>
      </c>
      <c r="AK44" s="148">
        <v>6</v>
      </c>
      <c r="AL44" s="183"/>
      <c r="AM44" s="146">
        <v>1</v>
      </c>
      <c r="AN44" s="147">
        <v>2</v>
      </c>
      <c r="AO44" s="147">
        <v>3</v>
      </c>
      <c r="AP44" s="147">
        <v>4</v>
      </c>
      <c r="AQ44" s="147">
        <v>5</v>
      </c>
      <c r="AR44" s="149">
        <v>6</v>
      </c>
      <c r="AS44" s="183"/>
      <c r="AT44" s="99"/>
    </row>
    <row r="45" spans="1:46" x14ac:dyDescent="0.25">
      <c r="A45" s="113" t="s">
        <v>3</v>
      </c>
      <c r="B45" s="107">
        <v>31936</v>
      </c>
      <c r="C45" s="108">
        <v>35931</v>
      </c>
      <c r="D45" s="108">
        <v>44418</v>
      </c>
      <c r="E45" s="108">
        <v>42599</v>
      </c>
      <c r="F45" s="108">
        <v>67484</v>
      </c>
      <c r="G45" s="109">
        <v>34636</v>
      </c>
      <c r="H45" s="113">
        <f>AVERAGE(B45:G45)</f>
        <v>42834</v>
      </c>
      <c r="I45" s="111">
        <v>11814</v>
      </c>
      <c r="J45" s="108">
        <v>11111</v>
      </c>
      <c r="K45" s="108">
        <v>13893</v>
      </c>
      <c r="L45" s="108">
        <v>14556</v>
      </c>
      <c r="M45" s="108">
        <v>22992</v>
      </c>
      <c r="N45" s="112">
        <v>15230</v>
      </c>
      <c r="O45" s="113">
        <f>AVERAGE(I45:N45)</f>
        <v>14932.666666666666</v>
      </c>
      <c r="P45" s="111">
        <v>32467</v>
      </c>
      <c r="Q45" s="108">
        <v>34851</v>
      </c>
      <c r="R45" s="108">
        <v>41262</v>
      </c>
      <c r="S45" s="108">
        <v>32324</v>
      </c>
      <c r="T45" s="108">
        <v>43243</v>
      </c>
      <c r="U45" s="109">
        <v>21666</v>
      </c>
      <c r="V45" s="113">
        <f>AVERAGE(P45:U45)</f>
        <v>34302.166666666664</v>
      </c>
      <c r="W45" s="101"/>
      <c r="X45" s="157" t="s">
        <v>3</v>
      </c>
      <c r="Y45" s="151">
        <v>19124</v>
      </c>
      <c r="Z45" s="152">
        <v>15012</v>
      </c>
      <c r="AA45" s="152">
        <v>19082</v>
      </c>
      <c r="AB45" s="152">
        <v>18507</v>
      </c>
      <c r="AC45" s="152">
        <v>14658</v>
      </c>
      <c r="AD45" s="153">
        <v>15218</v>
      </c>
      <c r="AE45" s="157">
        <f>AVERAGE(Y45:AD45)</f>
        <v>16933.5</v>
      </c>
      <c r="AF45" s="155">
        <v>20135</v>
      </c>
      <c r="AG45" s="152">
        <v>18745</v>
      </c>
      <c r="AH45" s="152">
        <v>19858</v>
      </c>
      <c r="AI45" s="152">
        <v>21939</v>
      </c>
      <c r="AJ45" s="152">
        <v>18099</v>
      </c>
      <c r="AK45" s="156">
        <v>15125</v>
      </c>
      <c r="AL45" s="157">
        <f>AVERAGE(AF45:AK45)</f>
        <v>18983.5</v>
      </c>
      <c r="AM45" s="155">
        <v>10015</v>
      </c>
      <c r="AN45" s="152">
        <v>6520</v>
      </c>
      <c r="AO45" s="152">
        <v>11182</v>
      </c>
      <c r="AP45" s="152">
        <v>10429</v>
      </c>
      <c r="AQ45" s="152">
        <v>11031</v>
      </c>
      <c r="AR45" s="153">
        <v>16074</v>
      </c>
      <c r="AS45" s="157">
        <f>AVERAGE(AM45:AR45)</f>
        <v>10875.166666666666</v>
      </c>
      <c r="AT45" s="99"/>
    </row>
    <row r="46" spans="1:46" x14ac:dyDescent="0.25">
      <c r="A46" s="126" t="s">
        <v>2</v>
      </c>
      <c r="B46" s="115">
        <v>74</v>
      </c>
      <c r="C46" s="116">
        <v>69</v>
      </c>
      <c r="D46" s="117">
        <v>81</v>
      </c>
      <c r="E46" s="117">
        <v>75</v>
      </c>
      <c r="F46" s="117">
        <v>79</v>
      </c>
      <c r="G46" s="118">
        <v>84</v>
      </c>
      <c r="H46" s="122">
        <f>AVERAGE(B46:G46)</f>
        <v>77</v>
      </c>
      <c r="I46" s="139">
        <v>78</v>
      </c>
      <c r="J46" s="116">
        <v>73</v>
      </c>
      <c r="K46" s="116">
        <v>74</v>
      </c>
      <c r="L46" s="116">
        <v>78</v>
      </c>
      <c r="M46" s="116">
        <v>71</v>
      </c>
      <c r="N46" s="140">
        <v>80</v>
      </c>
      <c r="O46" s="122">
        <f>AVERAGE(I46:N46)</f>
        <v>75.666666666666671</v>
      </c>
      <c r="P46" s="139">
        <v>78</v>
      </c>
      <c r="Q46" s="116">
        <v>70</v>
      </c>
      <c r="R46" s="116">
        <v>74</v>
      </c>
      <c r="S46" s="116">
        <v>78</v>
      </c>
      <c r="T46" s="116">
        <v>79</v>
      </c>
      <c r="U46" s="141">
        <v>79</v>
      </c>
      <c r="V46" s="122">
        <f>AVERAGE(P46:U46)</f>
        <v>76.333333333333329</v>
      </c>
      <c r="W46" s="101"/>
      <c r="X46" s="170" t="s">
        <v>2</v>
      </c>
      <c r="Y46" s="159">
        <v>86</v>
      </c>
      <c r="Z46" s="160">
        <v>74</v>
      </c>
      <c r="AA46" s="161">
        <v>71</v>
      </c>
      <c r="AB46" s="161">
        <v>67</v>
      </c>
      <c r="AC46" s="161">
        <v>82</v>
      </c>
      <c r="AD46" s="162">
        <v>75</v>
      </c>
      <c r="AE46" s="166">
        <f>AVERAGE(Y46:AD46)</f>
        <v>75.833333333333329</v>
      </c>
      <c r="AF46" s="184">
        <v>70</v>
      </c>
      <c r="AG46" s="160">
        <v>83</v>
      </c>
      <c r="AH46" s="160">
        <v>86</v>
      </c>
      <c r="AI46" s="160">
        <v>76</v>
      </c>
      <c r="AJ46" s="160">
        <v>80</v>
      </c>
      <c r="AK46" s="185">
        <v>70</v>
      </c>
      <c r="AL46" s="166">
        <f>AVERAGE(AF46:AK46)</f>
        <v>77.5</v>
      </c>
      <c r="AM46" s="184">
        <v>80</v>
      </c>
      <c r="AN46" s="160">
        <v>69</v>
      </c>
      <c r="AO46" s="160">
        <v>79</v>
      </c>
      <c r="AP46" s="160">
        <v>71</v>
      </c>
      <c r="AQ46" s="160">
        <v>82</v>
      </c>
      <c r="AR46" s="186">
        <v>70</v>
      </c>
      <c r="AS46" s="166">
        <f>AVERAGE(AM46:AR46)</f>
        <v>75.166666666666671</v>
      </c>
      <c r="AT46" s="99"/>
    </row>
    <row r="47" spans="1:46" ht="15.75" thickBot="1" x14ac:dyDescent="0.3">
      <c r="A47" s="138" t="s">
        <v>1</v>
      </c>
      <c r="B47" s="137">
        <v>3739</v>
      </c>
      <c r="C47" s="103">
        <v>3705</v>
      </c>
      <c r="D47" s="103">
        <v>3656</v>
      </c>
      <c r="E47" s="103">
        <v>3745</v>
      </c>
      <c r="F47" s="103">
        <v>3743</v>
      </c>
      <c r="G47" s="105">
        <v>3705</v>
      </c>
      <c r="H47" s="126"/>
      <c r="I47" s="142"/>
      <c r="J47" s="142"/>
      <c r="K47" s="142"/>
      <c r="L47" s="142"/>
      <c r="M47" s="142"/>
      <c r="N47" s="142"/>
      <c r="O47" s="126"/>
      <c r="P47" s="142"/>
      <c r="Q47" s="142"/>
      <c r="R47" s="142"/>
      <c r="S47" s="142"/>
      <c r="T47" s="142"/>
      <c r="U47" s="143"/>
      <c r="V47" s="126">
        <f>AVERAGE(B47:G47)</f>
        <v>3715.5</v>
      </c>
      <c r="W47" s="101"/>
      <c r="X47" s="183" t="s">
        <v>1</v>
      </c>
      <c r="Y47" s="182">
        <v>3739</v>
      </c>
      <c r="Z47" s="147">
        <v>3705</v>
      </c>
      <c r="AA47" s="147">
        <v>3656</v>
      </c>
      <c r="AB47" s="147">
        <v>3745</v>
      </c>
      <c r="AC47" s="147">
        <v>3743</v>
      </c>
      <c r="AD47" s="149">
        <v>3705</v>
      </c>
      <c r="AE47" s="170"/>
      <c r="AF47" s="187"/>
      <c r="AG47" s="187"/>
      <c r="AH47" s="187"/>
      <c r="AI47" s="187"/>
      <c r="AJ47" s="187"/>
      <c r="AK47" s="187"/>
      <c r="AL47" s="170"/>
      <c r="AM47" s="187"/>
      <c r="AN47" s="187"/>
      <c r="AO47" s="187"/>
      <c r="AP47" s="187"/>
      <c r="AQ47" s="187"/>
      <c r="AR47" s="188"/>
      <c r="AS47" s="170">
        <f>AVERAGE(Y47:AD47)</f>
        <v>3715.5</v>
      </c>
      <c r="AT47" s="99"/>
    </row>
    <row r="48" spans="1:46" ht="15.75" thickBot="1" x14ac:dyDescent="0.3">
      <c r="A48" s="127" t="s">
        <v>0</v>
      </c>
      <c r="B48" s="128">
        <f>B45-(3715.5+(AVERAGE(B46:G46)))</f>
        <v>28143.5</v>
      </c>
      <c r="C48" s="129">
        <f>C45-(3715.5+(AVERAGE(B46:G46)))</f>
        <v>32138.5</v>
      </c>
      <c r="D48" s="129">
        <f>D45-(3715.5+(AVERAGE(B46:G46)))</f>
        <v>40625.5</v>
      </c>
      <c r="E48" s="129">
        <f>E45-(3715.5+(AVERAGE(B46:G46)))</f>
        <v>38806.5</v>
      </c>
      <c r="F48" s="129">
        <f>F45-(3715.5+(AVERAGE(B46:G46)))</f>
        <v>63691.5</v>
      </c>
      <c r="G48" s="130">
        <f>G45-(3715.5+(AVERAGE(B46:G46)))</f>
        <v>30843.5</v>
      </c>
      <c r="H48" s="134">
        <f>AVERAGE(B48:G48)</f>
        <v>39041.5</v>
      </c>
      <c r="I48" s="128">
        <f>I45-(3715.5+(AVERAGE(I46:N46)))</f>
        <v>8022.8333333333339</v>
      </c>
      <c r="J48" s="129">
        <f>J45-(3715.5+(AVERAGE(I46:N46)))</f>
        <v>7319.8333333333339</v>
      </c>
      <c r="K48" s="129">
        <f>K45-(3715.5+(AVERAGE(I46:N46)))</f>
        <v>10101.833333333334</v>
      </c>
      <c r="L48" s="129">
        <f>L45-(3715.5+(AVERAGE(I46:N46)))</f>
        <v>10764.833333333334</v>
      </c>
      <c r="M48" s="129">
        <f>M45-(3715.5+(AVERAGE(I46:N46)))</f>
        <v>19200.833333333332</v>
      </c>
      <c r="N48" s="130">
        <f>N45-(3715.5+(AVERAGE(I46:N46)))</f>
        <v>11438.833333333334</v>
      </c>
      <c r="O48" s="134">
        <f>AVERAGE(I48:N48)</f>
        <v>11141.5</v>
      </c>
      <c r="P48" s="128">
        <f>P45-(3715.5+(AVERAGE(P46:U46)))</f>
        <v>28675.166666666668</v>
      </c>
      <c r="Q48" s="129">
        <f>Q45-(3715.5+(AVERAGE(P46:U46)))</f>
        <v>31059.166666666668</v>
      </c>
      <c r="R48" s="129">
        <f>R45-(3715.5+(AVERAGE(P46:U46)))</f>
        <v>37470.166666666664</v>
      </c>
      <c r="S48" s="129">
        <f>S45-(3715.5+(AVERAGE(P46:U46)))</f>
        <v>28532.166666666668</v>
      </c>
      <c r="T48" s="129">
        <f>T45-(3715.5+(AVERAGE(P46:U46)))</f>
        <v>39451.166666666664</v>
      </c>
      <c r="U48" s="130">
        <f>U45-(3715.5+(AVERAGE(P46:U46)))</f>
        <v>17874.166666666668</v>
      </c>
      <c r="V48" s="134">
        <f>AVERAGE(P48:U48)</f>
        <v>30510.333333333332</v>
      </c>
      <c r="W48" s="101"/>
      <c r="X48" s="171" t="s">
        <v>0</v>
      </c>
      <c r="Y48" s="172">
        <f>Y45-(3715.5+(AVERAGE(Y46:AD46)))</f>
        <v>15332.666666666666</v>
      </c>
      <c r="Z48" s="173">
        <f>Z45-(3715.5+(AVERAGE(Y46:AD46)))</f>
        <v>11220.666666666666</v>
      </c>
      <c r="AA48" s="173">
        <f>AA45-(3715.5+(AVERAGE(Y46:AD46)))</f>
        <v>15290.666666666666</v>
      </c>
      <c r="AB48" s="173">
        <f>AB45-(3715.5+(AVERAGE(Y46:AD46)))</f>
        <v>14715.666666666666</v>
      </c>
      <c r="AC48" s="173">
        <f>AC45-(3715.5+(AVERAGE(Y46:AD46)))</f>
        <v>10866.666666666666</v>
      </c>
      <c r="AD48" s="174">
        <f>AD45-(3715.5+(AVERAGE(Y46:AD46)))</f>
        <v>11426.666666666666</v>
      </c>
      <c r="AE48" s="178">
        <f>AVERAGE(Y48:AD48)</f>
        <v>13142.166666666666</v>
      </c>
      <c r="AF48" s="172">
        <f>AF45-(3715.5+(AVERAGE(AF46:AK46)))</f>
        <v>16342</v>
      </c>
      <c r="AG48" s="173">
        <f>AG45-(3715.5+(AVERAGE(AF46:AK46)))</f>
        <v>14952</v>
      </c>
      <c r="AH48" s="173">
        <f>AH45-(3715.5+(AVERAGE(AF46:AK46)))</f>
        <v>16065</v>
      </c>
      <c r="AI48" s="173">
        <f>AI45-(3715.5+(AVERAGE(AF46:AK46)))</f>
        <v>18146</v>
      </c>
      <c r="AJ48" s="173">
        <f>AJ45-(3715.5+(AVERAGE(AF46:AK46)))</f>
        <v>14306</v>
      </c>
      <c r="AK48" s="174">
        <f>AK45-(3715.5+(AVERAGE(AF46:AK46)))</f>
        <v>11332</v>
      </c>
      <c r="AL48" s="178">
        <f>AVERAGE(AF48:AK48)</f>
        <v>15190.5</v>
      </c>
      <c r="AM48" s="172">
        <f>AM45-(3715.5+(AVERAGE(AM46:AR46)))</f>
        <v>6224.3333333333339</v>
      </c>
      <c r="AN48" s="173">
        <f>AN45-(3715.5+(AVERAGE(AM46:AR46)))</f>
        <v>2729.3333333333335</v>
      </c>
      <c r="AO48" s="173">
        <f>AO45-(3715.5+(AVERAGE(AM46:AR46)))</f>
        <v>7391.3333333333339</v>
      </c>
      <c r="AP48" s="173">
        <f>AP45-(3715.5+(AVERAGE(AM46:AR46)))</f>
        <v>6638.3333333333339</v>
      </c>
      <c r="AQ48" s="173">
        <f>AQ45-(3715.5+(AVERAGE(AM46:AR46)))</f>
        <v>7240.3333333333339</v>
      </c>
      <c r="AR48" s="174">
        <f>AR45-(3715.5+(AVERAGE(AM46:AR46)))</f>
        <v>12283.333333333334</v>
      </c>
      <c r="AS48" s="178">
        <f>AVERAGE(AM48:AR48)</f>
        <v>7084.5000000000009</v>
      </c>
      <c r="AT48" s="99"/>
    </row>
    <row r="49" spans="1:46" x14ac:dyDescent="0.25">
      <c r="A49" s="101"/>
      <c r="B49" s="101"/>
      <c r="C49" s="101"/>
      <c r="D49" s="101"/>
      <c r="E49" s="101"/>
      <c r="F49" s="101"/>
      <c r="G49" s="101"/>
      <c r="H49" s="135"/>
      <c r="I49" s="101"/>
      <c r="J49" s="101"/>
      <c r="K49" s="101"/>
      <c r="L49" s="101"/>
      <c r="M49" s="101"/>
      <c r="N49" s="101"/>
      <c r="O49" s="135"/>
      <c r="P49" s="101"/>
      <c r="Q49" s="101"/>
      <c r="R49" s="101"/>
      <c r="S49" s="101"/>
      <c r="T49" s="101"/>
      <c r="U49" s="101"/>
      <c r="V49" s="135"/>
      <c r="W49" s="101"/>
      <c r="X49" s="179"/>
      <c r="Y49" s="179"/>
      <c r="Z49" s="179"/>
      <c r="AA49" s="179"/>
      <c r="AB49" s="179"/>
      <c r="AC49" s="179"/>
      <c r="AD49" s="179"/>
      <c r="AE49" s="180"/>
      <c r="AF49" s="179"/>
      <c r="AG49" s="179"/>
      <c r="AH49" s="179"/>
      <c r="AI49" s="179"/>
      <c r="AJ49" s="179"/>
      <c r="AK49" s="179"/>
      <c r="AL49" s="180"/>
      <c r="AM49" s="179"/>
      <c r="AN49" s="179"/>
      <c r="AO49" s="179"/>
      <c r="AP49" s="179"/>
      <c r="AQ49" s="179"/>
      <c r="AR49" s="179"/>
      <c r="AS49" s="180"/>
      <c r="AT49" s="99"/>
    </row>
    <row r="50" spans="1:46" x14ac:dyDescent="0.25">
      <c r="A50" s="99"/>
      <c r="B50" s="99"/>
      <c r="C50" s="99"/>
      <c r="D50" s="99"/>
      <c r="E50" s="99"/>
      <c r="F50" s="99"/>
      <c r="G50" s="99"/>
      <c r="H50" s="100"/>
      <c r="I50" s="99"/>
      <c r="J50" s="99"/>
      <c r="K50" s="99"/>
      <c r="L50" s="99"/>
      <c r="M50" s="99"/>
      <c r="N50" s="99"/>
      <c r="O50" s="100"/>
      <c r="P50" s="99"/>
      <c r="Q50" s="99"/>
      <c r="R50" s="99"/>
      <c r="S50" s="99"/>
      <c r="T50" s="99"/>
      <c r="U50" s="99"/>
      <c r="V50" s="100"/>
      <c r="W50" s="99"/>
      <c r="X50" s="99"/>
      <c r="Y50" s="99"/>
      <c r="Z50" s="99"/>
      <c r="AA50" s="99"/>
      <c r="AB50" s="99"/>
      <c r="AC50" s="99"/>
      <c r="AD50" s="99"/>
      <c r="AE50" s="100"/>
      <c r="AF50" s="99"/>
      <c r="AG50" s="99"/>
      <c r="AH50" s="99"/>
      <c r="AI50" s="99"/>
      <c r="AJ50" s="99"/>
      <c r="AK50" s="99"/>
      <c r="AL50" s="100"/>
      <c r="AM50" s="99"/>
      <c r="AN50" s="99"/>
      <c r="AO50" s="99"/>
      <c r="AP50" s="99"/>
      <c r="AQ50" s="99"/>
      <c r="AR50" s="99"/>
      <c r="AS50" s="100"/>
      <c r="AT50" s="99"/>
    </row>
    <row r="51" spans="1:46" x14ac:dyDescent="0.25">
      <c r="A51" s="99"/>
      <c r="B51" s="99"/>
      <c r="C51" s="99"/>
      <c r="D51" s="99"/>
      <c r="E51" s="99"/>
      <c r="F51" s="99"/>
      <c r="G51" s="99"/>
      <c r="H51" s="100"/>
      <c r="I51" s="99"/>
      <c r="J51" s="99"/>
      <c r="K51" s="99"/>
      <c r="L51" s="99"/>
      <c r="M51" s="99"/>
      <c r="N51" s="99"/>
      <c r="O51" s="100"/>
      <c r="P51" s="99"/>
      <c r="Q51" s="99"/>
      <c r="R51" s="99"/>
      <c r="S51" s="99"/>
      <c r="T51" s="99"/>
      <c r="U51" s="99"/>
      <c r="V51" s="100"/>
      <c r="W51" s="99"/>
      <c r="X51" s="99"/>
      <c r="Y51" s="99"/>
      <c r="Z51" s="99"/>
      <c r="AA51" s="99"/>
      <c r="AB51" s="99"/>
      <c r="AC51" s="99"/>
      <c r="AD51" s="99"/>
      <c r="AE51" s="100"/>
      <c r="AF51" s="99"/>
      <c r="AG51" s="99"/>
      <c r="AH51" s="99"/>
      <c r="AI51" s="99"/>
      <c r="AJ51" s="99"/>
      <c r="AK51" s="99"/>
      <c r="AL51" s="100"/>
      <c r="AM51" s="99"/>
      <c r="AN51" s="99"/>
      <c r="AO51" s="99"/>
      <c r="AP51" s="99"/>
      <c r="AQ51" s="99"/>
      <c r="AR51" s="99"/>
      <c r="AS51" s="100"/>
      <c r="AT51" s="99"/>
    </row>
    <row r="52" spans="1:46" x14ac:dyDescent="0.25">
      <c r="A52" s="99"/>
      <c r="B52" s="99"/>
      <c r="C52" s="99"/>
      <c r="D52" s="99"/>
      <c r="E52" s="99"/>
      <c r="F52" s="99"/>
      <c r="G52" s="99"/>
      <c r="H52" s="100"/>
      <c r="I52" s="99"/>
      <c r="J52" s="99"/>
      <c r="K52" s="99"/>
      <c r="L52" s="99"/>
      <c r="M52" s="99"/>
      <c r="N52" s="99"/>
      <c r="O52" s="100"/>
      <c r="P52" s="99"/>
      <c r="Q52" s="99"/>
      <c r="R52" s="99"/>
      <c r="S52" s="99"/>
      <c r="T52" s="99"/>
      <c r="U52" s="99"/>
      <c r="V52" s="100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  <c r="AH52" s="99"/>
      <c r="AI52" s="99"/>
      <c r="AJ52" s="99"/>
      <c r="AK52" s="99"/>
      <c r="AL52" s="99"/>
      <c r="AM52" s="99"/>
      <c r="AN52" s="99"/>
      <c r="AO52" s="99"/>
      <c r="AP52" s="99"/>
      <c r="AQ52" s="99"/>
      <c r="AR52" s="99"/>
      <c r="AS52" s="99"/>
      <c r="AT52" s="99"/>
    </row>
  </sheetData>
  <mergeCells count="62">
    <mergeCell ref="P1:U1"/>
    <mergeCell ref="A1:A2"/>
    <mergeCell ref="B1:G1"/>
    <mergeCell ref="H1:H2"/>
    <mergeCell ref="I1:N1"/>
    <mergeCell ref="O1:O2"/>
    <mergeCell ref="AM1:AR1"/>
    <mergeCell ref="AS1:AS2"/>
    <mergeCell ref="A8:A9"/>
    <mergeCell ref="B8:G8"/>
    <mergeCell ref="I8:N8"/>
    <mergeCell ref="P8:U8"/>
    <mergeCell ref="X8:X9"/>
    <mergeCell ref="Y8:AD8"/>
    <mergeCell ref="AF8:AK8"/>
    <mergeCell ref="AM8:AR8"/>
    <mergeCell ref="V1:V2"/>
    <mergeCell ref="X1:X2"/>
    <mergeCell ref="Y1:AD1"/>
    <mergeCell ref="AE1:AE2"/>
    <mergeCell ref="AF1:AK1"/>
    <mergeCell ref="AL1:AL2"/>
    <mergeCell ref="AF15:AK15"/>
    <mergeCell ref="AM15:AR15"/>
    <mergeCell ref="A22:A23"/>
    <mergeCell ref="B22:G22"/>
    <mergeCell ref="I22:N22"/>
    <mergeCell ref="P22:U22"/>
    <mergeCell ref="X22:X23"/>
    <mergeCell ref="Y22:AD22"/>
    <mergeCell ref="AF22:AK22"/>
    <mergeCell ref="AM22:AR22"/>
    <mergeCell ref="A15:A16"/>
    <mergeCell ref="B15:G15"/>
    <mergeCell ref="I15:N15"/>
    <mergeCell ref="P15:U15"/>
    <mergeCell ref="X15:X16"/>
    <mergeCell ref="Y15:AD15"/>
    <mergeCell ref="AF29:AK29"/>
    <mergeCell ref="AM29:AR29"/>
    <mergeCell ref="A36:A37"/>
    <mergeCell ref="B36:G36"/>
    <mergeCell ref="I36:N36"/>
    <mergeCell ref="P36:U36"/>
    <mergeCell ref="X36:X37"/>
    <mergeCell ref="Y36:AD36"/>
    <mergeCell ref="AF36:AK36"/>
    <mergeCell ref="AM36:AR36"/>
    <mergeCell ref="A29:A30"/>
    <mergeCell ref="B29:G29"/>
    <mergeCell ref="I29:N29"/>
    <mergeCell ref="P29:U29"/>
    <mergeCell ref="X29:X30"/>
    <mergeCell ref="Y29:AD29"/>
    <mergeCell ref="AF43:AK43"/>
    <mergeCell ref="AM43:AR43"/>
    <mergeCell ref="A43:A44"/>
    <mergeCell ref="B43:G43"/>
    <mergeCell ref="I43:N43"/>
    <mergeCell ref="P43:U43"/>
    <mergeCell ref="X43:X44"/>
    <mergeCell ref="Y43:A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Healthy</vt:lpstr>
      <vt:lpstr>Cancer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Hird, Megan</dc:creator>
  <cp:lastModifiedBy>Hird, Megan</cp:lastModifiedBy>
  <dcterms:created xsi:type="dcterms:W3CDTF">2026-07-17T10:39:43Z</dcterms:created>
  <dcterms:modified xsi:type="dcterms:W3CDTF">2026-07-19T21:31:36Z</dcterms:modified>
</cp:coreProperties>
</file>