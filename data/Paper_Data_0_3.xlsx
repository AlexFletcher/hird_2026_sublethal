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effieldhallam-my.sharepoint.com/personal/mh3438_hallam_shu_ac_uk/Documents/PhD/Posters &amp; Papers/Fletcher et al 2026/"/>
    </mc:Choice>
  </mc:AlternateContent>
  <xr:revisionPtr revIDLastSave="2310" documentId="8_{47987D8E-4D11-854C-A612-590036B19057}" xr6:coauthVersionLast="47" xr6:coauthVersionMax="47" xr10:uidLastSave="{BC584687-78D9-4312-A70E-8D74ABA6632E}"/>
  <bookViews>
    <workbookView xWindow="-108" yWindow="-108" windowWidth="23256" windowHeight="12456" tabRatio="661" firstSheet="1" activeTab="4" xr2:uid="{D82FFF53-7C5E-4528-BD0A-76E8E71DFDFD}"/>
  </bookViews>
  <sheets>
    <sheet name="(1-2) Flow Data" sheetId="5" r:id="rId1"/>
    <sheet name="(3) Resazurin" sheetId="6" r:id="rId2"/>
    <sheet name="(3) Resazurin Raw" sheetId="11" r:id="rId3"/>
    <sheet name="(4) Design" sheetId="1" r:id="rId4"/>
    <sheet name="(4) Checklist" sheetId="10" r:id="rId5"/>
    <sheet name="(5) Cell Meta-data" sheetId="2" r:id="rId6"/>
    <sheet name="Protein Concentration Cancer" sheetId="7" r:id="rId7"/>
    <sheet name="Protein Concentration Healthy" sheetId="12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24" i="12" l="1"/>
  <c r="P36" i="12"/>
  <c r="AA36" i="12"/>
  <c r="Z36" i="12"/>
  <c r="Y36" i="12"/>
  <c r="X36" i="12"/>
  <c r="W36" i="12"/>
  <c r="V36" i="12"/>
  <c r="U36" i="12"/>
  <c r="T36" i="12"/>
  <c r="S36" i="12"/>
  <c r="R36" i="12"/>
  <c r="Q36" i="12"/>
  <c r="Q27" i="12"/>
  <c r="R27" i="12"/>
  <c r="S27" i="12"/>
  <c r="T27" i="12"/>
  <c r="U27" i="12"/>
  <c r="V27" i="12"/>
  <c r="W27" i="12"/>
  <c r="X27" i="12"/>
  <c r="Y27" i="12"/>
  <c r="Z27" i="12"/>
  <c r="AA27" i="12"/>
  <c r="P27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Q33" i="12"/>
  <c r="R33" i="12"/>
  <c r="S33" i="12"/>
  <c r="T33" i="12"/>
  <c r="U33" i="12"/>
  <c r="V33" i="12"/>
  <c r="W33" i="12"/>
  <c r="X33" i="12"/>
  <c r="Y33" i="12"/>
  <c r="Z33" i="12"/>
  <c r="AA33" i="12"/>
  <c r="P33" i="12"/>
  <c r="P25" i="12"/>
  <c r="Q25" i="12"/>
  <c r="R25" i="12"/>
  <c r="S25" i="12"/>
  <c r="T25" i="12"/>
  <c r="U25" i="12"/>
  <c r="V25" i="12"/>
  <c r="W25" i="12"/>
  <c r="X25" i="12"/>
  <c r="Y25" i="12"/>
  <c r="Z25" i="12"/>
  <c r="AA25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Q24" i="12"/>
  <c r="R24" i="12"/>
  <c r="S24" i="12"/>
  <c r="T24" i="12"/>
  <c r="U24" i="12"/>
  <c r="W24" i="12"/>
  <c r="X24" i="12"/>
  <c r="Y24" i="12"/>
  <c r="Z24" i="12"/>
  <c r="AA24" i="12"/>
  <c r="P24" i="12"/>
  <c r="B28" i="12"/>
  <c r="B27" i="12"/>
  <c r="B26" i="12"/>
  <c r="B25" i="12"/>
  <c r="B24" i="12"/>
  <c r="B23" i="12"/>
  <c r="B22" i="12"/>
  <c r="B21" i="12"/>
  <c r="B19" i="12"/>
  <c r="B18" i="12"/>
  <c r="B17" i="12"/>
  <c r="B16" i="12"/>
  <c r="B15" i="12"/>
  <c r="B14" i="12"/>
  <c r="B13" i="12"/>
  <c r="B12" i="12"/>
  <c r="B10" i="12"/>
  <c r="B9" i="12"/>
  <c r="B8" i="12"/>
  <c r="B7" i="12"/>
  <c r="B6" i="12"/>
  <c r="B5" i="12"/>
  <c r="B4" i="12"/>
  <c r="B3" i="12"/>
  <c r="AA36" i="7"/>
  <c r="V36" i="7"/>
  <c r="W36" i="7"/>
  <c r="X36" i="7"/>
  <c r="Y36" i="7"/>
  <c r="Z36" i="7"/>
  <c r="AN62" i="11"/>
  <c r="AO62" i="11"/>
  <c r="AP62" i="11"/>
  <c r="AQ62" i="11"/>
  <c r="AR62" i="11"/>
  <c r="AM62" i="11"/>
  <c r="AG62" i="11"/>
  <c r="AH62" i="11"/>
  <c r="AI62" i="11"/>
  <c r="AJ62" i="11"/>
  <c r="AK62" i="11"/>
  <c r="AF62" i="11"/>
  <c r="Z62" i="11"/>
  <c r="AA62" i="11"/>
  <c r="AB62" i="11"/>
  <c r="AC62" i="11"/>
  <c r="AD62" i="11"/>
  <c r="Y62" i="11"/>
  <c r="Q62" i="11"/>
  <c r="R62" i="11"/>
  <c r="S62" i="11"/>
  <c r="T62" i="11"/>
  <c r="U62" i="11"/>
  <c r="P62" i="11"/>
  <c r="J62" i="11"/>
  <c r="K62" i="11"/>
  <c r="L62" i="11"/>
  <c r="M62" i="11"/>
  <c r="N62" i="11"/>
  <c r="O62" i="11"/>
  <c r="I62" i="11"/>
  <c r="C62" i="11"/>
  <c r="D62" i="11"/>
  <c r="E62" i="11"/>
  <c r="F62" i="11"/>
  <c r="G62" i="11"/>
  <c r="B62" i="11"/>
  <c r="AF55" i="11"/>
  <c r="AR55" i="11"/>
  <c r="AQ55" i="11"/>
  <c r="AP55" i="11"/>
  <c r="AO55" i="11"/>
  <c r="AN55" i="11"/>
  <c r="AM55" i="11"/>
  <c r="AK55" i="11"/>
  <c r="AJ55" i="11"/>
  <c r="AI55" i="11"/>
  <c r="AH55" i="11"/>
  <c r="AG55" i="11"/>
  <c r="Y55" i="11"/>
  <c r="Z55" i="11"/>
  <c r="AA55" i="11"/>
  <c r="AB55" i="11"/>
  <c r="AC55" i="11"/>
  <c r="AD55" i="11"/>
  <c r="U55" i="11"/>
  <c r="T55" i="11"/>
  <c r="S55" i="11"/>
  <c r="R55" i="11"/>
  <c r="Q55" i="11"/>
  <c r="P55" i="11"/>
  <c r="N55" i="11"/>
  <c r="M55" i="11"/>
  <c r="L55" i="11"/>
  <c r="K55" i="11"/>
  <c r="J55" i="11"/>
  <c r="I55" i="11"/>
  <c r="G55" i="11"/>
  <c r="F55" i="11"/>
  <c r="E55" i="11"/>
  <c r="D55" i="11"/>
  <c r="C55" i="11"/>
  <c r="B55" i="11"/>
  <c r="CL62" i="11"/>
  <c r="CK62" i="11"/>
  <c r="CJ62" i="11"/>
  <c r="CI62" i="11"/>
  <c r="CH62" i="11"/>
  <c r="CG62" i="11"/>
  <c r="CM62" i="11" s="1"/>
  <c r="CE62" i="11"/>
  <c r="CD62" i="11"/>
  <c r="CC62" i="11"/>
  <c r="CB62" i="11"/>
  <c r="CA62" i="11"/>
  <c r="BZ62" i="11"/>
  <c r="CF62" i="11" s="1"/>
  <c r="BX62" i="11"/>
  <c r="BW62" i="11"/>
  <c r="BV62" i="11"/>
  <c r="BU62" i="11"/>
  <c r="BT62" i="11"/>
  <c r="BS62" i="11"/>
  <c r="BY62" i="11" s="1"/>
  <c r="CM61" i="11"/>
  <c r="CM60" i="11"/>
  <c r="CF60" i="11"/>
  <c r="BY60" i="11"/>
  <c r="CM59" i="11"/>
  <c r="CF59" i="11"/>
  <c r="BY59" i="11"/>
  <c r="CL55" i="11"/>
  <c r="CK55" i="11"/>
  <c r="CJ55" i="11"/>
  <c r="CI55" i="11"/>
  <c r="CH55" i="11"/>
  <c r="CG55" i="11"/>
  <c r="CM55" i="11" s="1"/>
  <c r="CE55" i="11"/>
  <c r="CD55" i="11"/>
  <c r="CC55" i="11"/>
  <c r="CB55" i="11"/>
  <c r="CA55" i="11"/>
  <c r="BZ55" i="11"/>
  <c r="CF55" i="11" s="1"/>
  <c r="BX55" i="11"/>
  <c r="BW55" i="11"/>
  <c r="BV55" i="11"/>
  <c r="BU55" i="11"/>
  <c r="BT55" i="11"/>
  <c r="BS55" i="11"/>
  <c r="BY55" i="11" s="1"/>
  <c r="CM54" i="11"/>
  <c r="CM53" i="11"/>
  <c r="CF53" i="11"/>
  <c r="BY53" i="11"/>
  <c r="CM52" i="11"/>
  <c r="CF52" i="11"/>
  <c r="BY52" i="11"/>
  <c r="AS61" i="11"/>
  <c r="AS60" i="11"/>
  <c r="AL60" i="11"/>
  <c r="AE60" i="11"/>
  <c r="AS59" i="11"/>
  <c r="AL59" i="11"/>
  <c r="AE59" i="11"/>
  <c r="AS54" i="11"/>
  <c r="AS53" i="11"/>
  <c r="AL53" i="11"/>
  <c r="AE53" i="11"/>
  <c r="AS52" i="11"/>
  <c r="AL52" i="11"/>
  <c r="AE52" i="11"/>
  <c r="V61" i="11"/>
  <c r="V60" i="11"/>
  <c r="O60" i="11"/>
  <c r="H60" i="11"/>
  <c r="V59" i="11"/>
  <c r="O59" i="11"/>
  <c r="H59" i="11"/>
  <c r="V54" i="11"/>
  <c r="V53" i="11"/>
  <c r="O53" i="11"/>
  <c r="H53" i="11"/>
  <c r="V52" i="11"/>
  <c r="O52" i="11"/>
  <c r="H52" i="11"/>
  <c r="CL48" i="11"/>
  <c r="CK48" i="11"/>
  <c r="CJ48" i="11"/>
  <c r="CI48" i="11"/>
  <c r="CH48" i="11"/>
  <c r="CG48" i="11"/>
  <c r="CE48" i="11"/>
  <c r="CD48" i="11"/>
  <c r="CC48" i="11"/>
  <c r="CB48" i="11"/>
  <c r="CA48" i="11"/>
  <c r="BZ48" i="11"/>
  <c r="CF48" i="11" s="1"/>
  <c r="BX48" i="11"/>
  <c r="BW48" i="11"/>
  <c r="BV48" i="11"/>
  <c r="BU48" i="11"/>
  <c r="BT48" i="11"/>
  <c r="BS48" i="11"/>
  <c r="BO48" i="11"/>
  <c r="BN48" i="11"/>
  <c r="BM48" i="11"/>
  <c r="BL48" i="11"/>
  <c r="BK48" i="11"/>
  <c r="BJ48" i="11"/>
  <c r="BP48" i="11" s="1"/>
  <c r="BH48" i="11"/>
  <c r="BG48" i="11"/>
  <c r="BF48" i="11"/>
  <c r="BE48" i="11"/>
  <c r="BD48" i="11"/>
  <c r="BC48" i="11"/>
  <c r="BI48" i="11" s="1"/>
  <c r="BA48" i="11"/>
  <c r="AZ48" i="11"/>
  <c r="AY48" i="11"/>
  <c r="AX48" i="11"/>
  <c r="AW48" i="11"/>
  <c r="AV48" i="11"/>
  <c r="BB48" i="11" s="1"/>
  <c r="CM47" i="11"/>
  <c r="BP47" i="11"/>
  <c r="CM46" i="11"/>
  <c r="CF46" i="11"/>
  <c r="BY46" i="11"/>
  <c r="BP46" i="11"/>
  <c r="BI46" i="11"/>
  <c r="BB46" i="11"/>
  <c r="CM45" i="11"/>
  <c r="CF45" i="11"/>
  <c r="BY45" i="11"/>
  <c r="BP45" i="11"/>
  <c r="BI45" i="11"/>
  <c r="BB45" i="11"/>
  <c r="CL41" i="11"/>
  <c r="CK41" i="11"/>
  <c r="CJ41" i="11"/>
  <c r="CI41" i="11"/>
  <c r="CH41" i="11"/>
  <c r="CG41" i="11"/>
  <c r="CM41" i="11" s="1"/>
  <c r="CE41" i="11"/>
  <c r="CD41" i="11"/>
  <c r="CC41" i="11"/>
  <c r="CB41" i="11"/>
  <c r="CA41" i="11"/>
  <c r="BZ41" i="11"/>
  <c r="CF41" i="11" s="1"/>
  <c r="BX41" i="11"/>
  <c r="BW41" i="11"/>
  <c r="BV41" i="11"/>
  <c r="BU41" i="11"/>
  <c r="BT41" i="11"/>
  <c r="BS41" i="11"/>
  <c r="BY41" i="11" s="1"/>
  <c r="BO41" i="11"/>
  <c r="BN41" i="11"/>
  <c r="BM41" i="11"/>
  <c r="BL41" i="11"/>
  <c r="BK41" i="11"/>
  <c r="BJ41" i="11"/>
  <c r="BP41" i="11" s="1"/>
  <c r="BH41" i="11"/>
  <c r="BG41" i="11"/>
  <c r="BF41" i="11"/>
  <c r="BE41" i="11"/>
  <c r="BD41" i="11"/>
  <c r="BC41" i="11"/>
  <c r="BI41" i="11" s="1"/>
  <c r="BA41" i="11"/>
  <c r="AZ41" i="11"/>
  <c r="AY41" i="11"/>
  <c r="AX41" i="11"/>
  <c r="AW41" i="11"/>
  <c r="AV41" i="11"/>
  <c r="BB41" i="11" s="1"/>
  <c r="CM40" i="11"/>
  <c r="BP40" i="11"/>
  <c r="CM39" i="11"/>
  <c r="CF39" i="11"/>
  <c r="BY39" i="11"/>
  <c r="BP39" i="11"/>
  <c r="BI39" i="11"/>
  <c r="BB39" i="11"/>
  <c r="CM38" i="11"/>
  <c r="CF38" i="11"/>
  <c r="BY38" i="11"/>
  <c r="BP38" i="11"/>
  <c r="BI38" i="11"/>
  <c r="BB38" i="11"/>
  <c r="CL34" i="11"/>
  <c r="CK34" i="11"/>
  <c r="CJ34" i="11"/>
  <c r="CI34" i="11"/>
  <c r="CH34" i="11"/>
  <c r="CG34" i="11"/>
  <c r="CM34" i="11" s="1"/>
  <c r="CE34" i="11"/>
  <c r="CD34" i="11"/>
  <c r="CC34" i="11"/>
  <c r="CB34" i="11"/>
  <c r="CA34" i="11"/>
  <c r="BZ34" i="11"/>
  <c r="BX34" i="11"/>
  <c r="BW34" i="11"/>
  <c r="BV34" i="11"/>
  <c r="BU34" i="11"/>
  <c r="BT34" i="11"/>
  <c r="BS34" i="11"/>
  <c r="BY34" i="11" s="1"/>
  <c r="BO34" i="11"/>
  <c r="BN34" i="11"/>
  <c r="BM34" i="11"/>
  <c r="BL34" i="11"/>
  <c r="BK34" i="11"/>
  <c r="BJ34" i="11"/>
  <c r="BH34" i="11"/>
  <c r="BG34" i="11"/>
  <c r="BF34" i="11"/>
  <c r="BE34" i="11"/>
  <c r="BD34" i="11"/>
  <c r="BC34" i="11"/>
  <c r="BI34" i="11" s="1"/>
  <c r="BA34" i="11"/>
  <c r="AZ34" i="11"/>
  <c r="AY34" i="11"/>
  <c r="AX34" i="11"/>
  <c r="AW34" i="11"/>
  <c r="AV34" i="11"/>
  <c r="CM33" i="11"/>
  <c r="BP33" i="11"/>
  <c r="CM32" i="11"/>
  <c r="CF32" i="11"/>
  <c r="BY32" i="11"/>
  <c r="BP32" i="11"/>
  <c r="BI32" i="11"/>
  <c r="BB32" i="11"/>
  <c r="CM31" i="11"/>
  <c r="CF31" i="11"/>
  <c r="BY31" i="11"/>
  <c r="BP31" i="11"/>
  <c r="BI31" i="11"/>
  <c r="BB31" i="11"/>
  <c r="CL27" i="11"/>
  <c r="CK27" i="11"/>
  <c r="CJ27" i="11"/>
  <c r="CI27" i="11"/>
  <c r="CH27" i="11"/>
  <c r="CG27" i="11"/>
  <c r="CM27" i="11" s="1"/>
  <c r="CE27" i="11"/>
  <c r="CD27" i="11"/>
  <c r="CC27" i="11"/>
  <c r="CB27" i="11"/>
  <c r="CA27" i="11"/>
  <c r="BZ27" i="11"/>
  <c r="CF27" i="11" s="1"/>
  <c r="BX27" i="11"/>
  <c r="BW27" i="11"/>
  <c r="BV27" i="11"/>
  <c r="BU27" i="11"/>
  <c r="BT27" i="11"/>
  <c r="BS27" i="11"/>
  <c r="BY27" i="11" s="1"/>
  <c r="BO27" i="11"/>
  <c r="BN27" i="11"/>
  <c r="BM27" i="11"/>
  <c r="BL27" i="11"/>
  <c r="BK27" i="11"/>
  <c r="BJ27" i="11"/>
  <c r="BP27" i="11" s="1"/>
  <c r="BH27" i="11"/>
  <c r="BG27" i="11"/>
  <c r="BF27" i="11"/>
  <c r="BE27" i="11"/>
  <c r="BD27" i="11"/>
  <c r="BC27" i="11"/>
  <c r="BI27" i="11" s="1"/>
  <c r="BA27" i="11"/>
  <c r="AZ27" i="11"/>
  <c r="AY27" i="11"/>
  <c r="AX27" i="11"/>
  <c r="AW27" i="11"/>
  <c r="AV27" i="11"/>
  <c r="BB27" i="11" s="1"/>
  <c r="CM26" i="11"/>
  <c r="BP26" i="11"/>
  <c r="CM25" i="11"/>
  <c r="CF25" i="11"/>
  <c r="BY25" i="11"/>
  <c r="BP25" i="11"/>
  <c r="BI25" i="11"/>
  <c r="BB25" i="11"/>
  <c r="CM24" i="11"/>
  <c r="CF24" i="11"/>
  <c r="BY24" i="11"/>
  <c r="BP24" i="11"/>
  <c r="BI24" i="11"/>
  <c r="BB24" i="11"/>
  <c r="CL20" i="11"/>
  <c r="CK20" i="11"/>
  <c r="CJ20" i="11"/>
  <c r="CI20" i="11"/>
  <c r="CH20" i="11"/>
  <c r="CG20" i="11"/>
  <c r="CM20" i="11" s="1"/>
  <c r="CE20" i="11"/>
  <c r="CD20" i="11"/>
  <c r="CC20" i="11"/>
  <c r="CB20" i="11"/>
  <c r="CA20" i="11"/>
  <c r="BZ20" i="11"/>
  <c r="CF20" i="11" s="1"/>
  <c r="BX20" i="11"/>
  <c r="BW20" i="11"/>
  <c r="BV20" i="11"/>
  <c r="BU20" i="11"/>
  <c r="BT20" i="11"/>
  <c r="BS20" i="11"/>
  <c r="BY20" i="11" s="1"/>
  <c r="BO20" i="11"/>
  <c r="BN20" i="11"/>
  <c r="BM20" i="11"/>
  <c r="BL20" i="11"/>
  <c r="BK20" i="11"/>
  <c r="BJ20" i="11"/>
  <c r="BP20" i="11" s="1"/>
  <c r="BH20" i="11"/>
  <c r="BG20" i="11"/>
  <c r="BF20" i="11"/>
  <c r="BE20" i="11"/>
  <c r="BD20" i="11"/>
  <c r="BC20" i="11"/>
  <c r="BI20" i="11" s="1"/>
  <c r="BA20" i="11"/>
  <c r="AZ20" i="11"/>
  <c r="AY20" i="11"/>
  <c r="AX20" i="11"/>
  <c r="AW20" i="11"/>
  <c r="AV20" i="11"/>
  <c r="CM19" i="11"/>
  <c r="BP19" i="11"/>
  <c r="CM18" i="11"/>
  <c r="CF18" i="11"/>
  <c r="BY18" i="11"/>
  <c r="BP18" i="11"/>
  <c r="BI18" i="11"/>
  <c r="BB18" i="11"/>
  <c r="CM17" i="11"/>
  <c r="CF17" i="11"/>
  <c r="BY17" i="11"/>
  <c r="BP17" i="11"/>
  <c r="BI17" i="11"/>
  <c r="BB17" i="11"/>
  <c r="CL13" i="11"/>
  <c r="CK13" i="11"/>
  <c r="CJ13" i="11"/>
  <c r="CI13" i="11"/>
  <c r="CH13" i="11"/>
  <c r="CG13" i="11"/>
  <c r="CM13" i="11" s="1"/>
  <c r="CE13" i="11"/>
  <c r="CD13" i="11"/>
  <c r="CC13" i="11"/>
  <c r="CB13" i="11"/>
  <c r="CA13" i="11"/>
  <c r="BZ13" i="11"/>
  <c r="CF13" i="11" s="1"/>
  <c r="BX13" i="11"/>
  <c r="BW13" i="11"/>
  <c r="BV13" i="11"/>
  <c r="BU13" i="11"/>
  <c r="BT13" i="11"/>
  <c r="BS13" i="11"/>
  <c r="BY13" i="11" s="1"/>
  <c r="BO13" i="11"/>
  <c r="BN13" i="11"/>
  <c r="BM13" i="11"/>
  <c r="BL13" i="11"/>
  <c r="BK13" i="11"/>
  <c r="BJ13" i="11"/>
  <c r="BH13" i="11"/>
  <c r="BG13" i="11"/>
  <c r="BF13" i="11"/>
  <c r="BE13" i="11"/>
  <c r="BD13" i="11"/>
  <c r="BC13" i="11"/>
  <c r="BI13" i="11" s="1"/>
  <c r="BA13" i="11"/>
  <c r="AZ13" i="11"/>
  <c r="AY13" i="11"/>
  <c r="AX13" i="11"/>
  <c r="AW13" i="11"/>
  <c r="AV13" i="11"/>
  <c r="BB13" i="11" s="1"/>
  <c r="CM12" i="11"/>
  <c r="BP12" i="11"/>
  <c r="CM11" i="11"/>
  <c r="CF11" i="11"/>
  <c r="BY11" i="11"/>
  <c r="BP11" i="11"/>
  <c r="BI11" i="11"/>
  <c r="BB11" i="11"/>
  <c r="CM10" i="11"/>
  <c r="CF10" i="11"/>
  <c r="BY10" i="11"/>
  <c r="BP10" i="11"/>
  <c r="BI10" i="11"/>
  <c r="BB10" i="11"/>
  <c r="CL6" i="11"/>
  <c r="CK6" i="11"/>
  <c r="CJ6" i="11"/>
  <c r="CI6" i="11"/>
  <c r="CH6" i="11"/>
  <c r="CG6" i="11"/>
  <c r="CM6" i="11" s="1"/>
  <c r="CE6" i="11"/>
  <c r="CD6" i="11"/>
  <c r="CC6" i="11"/>
  <c r="CB6" i="11"/>
  <c r="CA6" i="11"/>
  <c r="BZ6" i="11"/>
  <c r="CF6" i="11" s="1"/>
  <c r="BX6" i="11"/>
  <c r="BW6" i="11"/>
  <c r="BV6" i="11"/>
  <c r="BU6" i="11"/>
  <c r="BT6" i="11"/>
  <c r="BS6" i="11"/>
  <c r="BY6" i="11" s="1"/>
  <c r="BO6" i="11"/>
  <c r="BN6" i="11"/>
  <c r="BM6" i="11"/>
  <c r="BL6" i="11"/>
  <c r="BK6" i="11"/>
  <c r="BJ6" i="11"/>
  <c r="BH6" i="11"/>
  <c r="BG6" i="11"/>
  <c r="BF6" i="11"/>
  <c r="BE6" i="11"/>
  <c r="BD6" i="11"/>
  <c r="BC6" i="11"/>
  <c r="BA6" i="11"/>
  <c r="AZ6" i="11"/>
  <c r="AY6" i="11"/>
  <c r="AX6" i="11"/>
  <c r="AW6" i="11"/>
  <c r="AV6" i="11"/>
  <c r="BB6" i="11" s="1"/>
  <c r="CM5" i="11"/>
  <c r="BP5" i="11"/>
  <c r="CM4" i="11"/>
  <c r="CF4" i="11"/>
  <c r="BY4" i="11"/>
  <c r="BP4" i="11"/>
  <c r="BI4" i="11"/>
  <c r="BB4" i="11"/>
  <c r="CM3" i="11"/>
  <c r="CF3" i="11"/>
  <c r="BY3" i="11"/>
  <c r="BP3" i="11"/>
  <c r="BI3" i="11"/>
  <c r="BB3" i="11"/>
  <c r="AR48" i="11"/>
  <c r="AQ48" i="11"/>
  <c r="AP48" i="11"/>
  <c r="AO48" i="11"/>
  <c r="AN48" i="11"/>
  <c r="AM48" i="11"/>
  <c r="AS48" i="11" s="1"/>
  <c r="AK48" i="11"/>
  <c r="AJ48" i="11"/>
  <c r="AI48" i="11"/>
  <c r="AH48" i="11"/>
  <c r="AG48" i="11"/>
  <c r="AF48" i="11"/>
  <c r="AL48" i="11" s="1"/>
  <c r="AD48" i="11"/>
  <c r="AC48" i="11"/>
  <c r="AB48" i="11"/>
  <c r="AA48" i="11"/>
  <c r="Z48" i="11"/>
  <c r="Y48" i="11"/>
  <c r="AE48" i="11" s="1"/>
  <c r="U48" i="11"/>
  <c r="T48" i="11"/>
  <c r="S48" i="11"/>
  <c r="R48" i="11"/>
  <c r="Q48" i="11"/>
  <c r="P48" i="11"/>
  <c r="V48" i="11" s="1"/>
  <c r="N48" i="11"/>
  <c r="M48" i="11"/>
  <c r="L48" i="11"/>
  <c r="K48" i="11"/>
  <c r="J48" i="11"/>
  <c r="I48" i="11"/>
  <c r="O48" i="11" s="1"/>
  <c r="G48" i="11"/>
  <c r="F48" i="11"/>
  <c r="E48" i="11"/>
  <c r="D48" i="11"/>
  <c r="C48" i="11"/>
  <c r="B48" i="11"/>
  <c r="H48" i="11" s="1"/>
  <c r="AS47" i="11"/>
  <c r="V47" i="11"/>
  <c r="AS46" i="11"/>
  <c r="AL46" i="11"/>
  <c r="AE46" i="11"/>
  <c r="V46" i="11"/>
  <c r="O46" i="11"/>
  <c r="H46" i="11"/>
  <c r="AS45" i="11"/>
  <c r="AL45" i="11"/>
  <c r="AE45" i="11"/>
  <c r="V45" i="11"/>
  <c r="O45" i="11"/>
  <c r="H45" i="11"/>
  <c r="AR41" i="11"/>
  <c r="AQ41" i="11"/>
  <c r="AP41" i="11"/>
  <c r="AO41" i="11"/>
  <c r="AN41" i="11"/>
  <c r="AM41" i="11"/>
  <c r="AK41" i="11"/>
  <c r="AJ41" i="11"/>
  <c r="AI41" i="11"/>
  <c r="AH41" i="11"/>
  <c r="AG41" i="11"/>
  <c r="AF41" i="11"/>
  <c r="AL41" i="11" s="1"/>
  <c r="AD41" i="11"/>
  <c r="AC41" i="11"/>
  <c r="AB41" i="11"/>
  <c r="AA41" i="11"/>
  <c r="Z41" i="11"/>
  <c r="Y41" i="11"/>
  <c r="AE41" i="11" s="1"/>
  <c r="U41" i="11"/>
  <c r="T41" i="11"/>
  <c r="S41" i="11"/>
  <c r="R41" i="11"/>
  <c r="Q41" i="11"/>
  <c r="P41" i="11"/>
  <c r="V41" i="11" s="1"/>
  <c r="N41" i="11"/>
  <c r="M41" i="11"/>
  <c r="L41" i="11"/>
  <c r="K41" i="11"/>
  <c r="J41" i="11"/>
  <c r="I41" i="11"/>
  <c r="G41" i="11"/>
  <c r="F41" i="11"/>
  <c r="E41" i="11"/>
  <c r="D41" i="11"/>
  <c r="C41" i="11"/>
  <c r="B41" i="11"/>
  <c r="H41" i="11" s="1"/>
  <c r="AS40" i="11"/>
  <c r="V40" i="11"/>
  <c r="AS39" i="11"/>
  <c r="AL39" i="11"/>
  <c r="AE39" i="11"/>
  <c r="V39" i="11"/>
  <c r="O39" i="11"/>
  <c r="H39" i="11"/>
  <c r="AS38" i="11"/>
  <c r="AL38" i="11"/>
  <c r="AE38" i="11"/>
  <c r="V38" i="11"/>
  <c r="O38" i="11"/>
  <c r="H38" i="11"/>
  <c r="AR34" i="11"/>
  <c r="AQ34" i="11"/>
  <c r="AP34" i="11"/>
  <c r="AO34" i="11"/>
  <c r="AN34" i="11"/>
  <c r="AM34" i="11"/>
  <c r="AS34" i="11" s="1"/>
  <c r="AK34" i="11"/>
  <c r="AJ34" i="11"/>
  <c r="AI34" i="11"/>
  <c r="AH34" i="11"/>
  <c r="AG34" i="11"/>
  <c r="AF34" i="11"/>
  <c r="AL34" i="11" s="1"/>
  <c r="AD34" i="11"/>
  <c r="AC34" i="11"/>
  <c r="AB34" i="11"/>
  <c r="AA34" i="11"/>
  <c r="Z34" i="11"/>
  <c r="Y34" i="11"/>
  <c r="U34" i="11"/>
  <c r="T34" i="11"/>
  <c r="S34" i="11"/>
  <c r="R34" i="11"/>
  <c r="Q34" i="11"/>
  <c r="P34" i="11"/>
  <c r="V34" i="11" s="1"/>
  <c r="N34" i="11"/>
  <c r="M34" i="11"/>
  <c r="L34" i="11"/>
  <c r="K34" i="11"/>
  <c r="J34" i="11"/>
  <c r="I34" i="11"/>
  <c r="O34" i="11" s="1"/>
  <c r="G34" i="11"/>
  <c r="F34" i="11"/>
  <c r="E34" i="11"/>
  <c r="D34" i="11"/>
  <c r="C34" i="11"/>
  <c r="B34" i="11"/>
  <c r="H34" i="11" s="1"/>
  <c r="AS33" i="11"/>
  <c r="V33" i="11"/>
  <c r="AS32" i="11"/>
  <c r="AL32" i="11"/>
  <c r="AE32" i="11"/>
  <c r="V32" i="11"/>
  <c r="O32" i="11"/>
  <c r="H32" i="11"/>
  <c r="AS31" i="11"/>
  <c r="AL31" i="11"/>
  <c r="AE31" i="11"/>
  <c r="V31" i="11"/>
  <c r="O31" i="11"/>
  <c r="H31" i="11"/>
  <c r="AR27" i="11"/>
  <c r="AQ27" i="11"/>
  <c r="AP27" i="11"/>
  <c r="AO27" i="11"/>
  <c r="AN27" i="11"/>
  <c r="AM27" i="11"/>
  <c r="AS27" i="11" s="1"/>
  <c r="AK27" i="11"/>
  <c r="AJ27" i="11"/>
  <c r="AI27" i="11"/>
  <c r="AH27" i="11"/>
  <c r="AG27" i="11"/>
  <c r="AF27" i="11"/>
  <c r="AD27" i="11"/>
  <c r="AC27" i="11"/>
  <c r="AB27" i="11"/>
  <c r="AA27" i="11"/>
  <c r="Z27" i="11"/>
  <c r="Y27" i="11"/>
  <c r="AE27" i="11" s="1"/>
  <c r="U27" i="11"/>
  <c r="T27" i="11"/>
  <c r="S27" i="11"/>
  <c r="R27" i="11"/>
  <c r="Q27" i="11"/>
  <c r="P27" i="11"/>
  <c r="V27" i="11" s="1"/>
  <c r="N27" i="11"/>
  <c r="M27" i="11"/>
  <c r="L27" i="11"/>
  <c r="K27" i="11"/>
  <c r="J27" i="11"/>
  <c r="I27" i="11"/>
  <c r="G27" i="11"/>
  <c r="F27" i="11"/>
  <c r="E27" i="11"/>
  <c r="D27" i="11"/>
  <c r="C27" i="11"/>
  <c r="B27" i="11"/>
  <c r="AS26" i="11"/>
  <c r="V26" i="11"/>
  <c r="AS25" i="11"/>
  <c r="AL25" i="11"/>
  <c r="AE25" i="11"/>
  <c r="V25" i="11"/>
  <c r="O25" i="11"/>
  <c r="H25" i="11"/>
  <c r="AS24" i="11"/>
  <c r="AL24" i="11"/>
  <c r="AE24" i="11"/>
  <c r="V24" i="11"/>
  <c r="O24" i="11"/>
  <c r="H24" i="11"/>
  <c r="AR20" i="11"/>
  <c r="AQ20" i="11"/>
  <c r="AP20" i="11"/>
  <c r="AO20" i="11"/>
  <c r="AN20" i="11"/>
  <c r="AM20" i="11"/>
  <c r="AS20" i="11" s="1"/>
  <c r="AK20" i="11"/>
  <c r="AJ20" i="11"/>
  <c r="AI20" i="11"/>
  <c r="AH20" i="11"/>
  <c r="AG20" i="11"/>
  <c r="AF20" i="11"/>
  <c r="AD20" i="11"/>
  <c r="AC20" i="11"/>
  <c r="AB20" i="11"/>
  <c r="AA20" i="11"/>
  <c r="Z20" i="11"/>
  <c r="Y20" i="11"/>
  <c r="AE20" i="11" s="1"/>
  <c r="U20" i="11"/>
  <c r="T20" i="11"/>
  <c r="S20" i="11"/>
  <c r="R20" i="11"/>
  <c r="Q20" i="11"/>
  <c r="P20" i="11"/>
  <c r="V20" i="11" s="1"/>
  <c r="N20" i="11"/>
  <c r="M20" i="11"/>
  <c r="L20" i="11"/>
  <c r="K20" i="11"/>
  <c r="J20" i="11"/>
  <c r="I20" i="11"/>
  <c r="O20" i="11" s="1"/>
  <c r="G20" i="11"/>
  <c r="F20" i="11"/>
  <c r="E20" i="11"/>
  <c r="D20" i="11"/>
  <c r="C20" i="11"/>
  <c r="B20" i="11"/>
  <c r="H20" i="11" s="1"/>
  <c r="AS19" i="11"/>
  <c r="V19" i="11"/>
  <c r="AS18" i="11"/>
  <c r="AL18" i="11"/>
  <c r="AE18" i="11"/>
  <c r="V18" i="11"/>
  <c r="O18" i="11"/>
  <c r="H18" i="11"/>
  <c r="AS17" i="11"/>
  <c r="AL17" i="11"/>
  <c r="AE17" i="11"/>
  <c r="V17" i="11"/>
  <c r="O17" i="11"/>
  <c r="H17" i="11"/>
  <c r="AR13" i="11"/>
  <c r="AQ13" i="11"/>
  <c r="AP13" i="11"/>
  <c r="AO13" i="11"/>
  <c r="AN13" i="11"/>
  <c r="AM13" i="11"/>
  <c r="AS13" i="11" s="1"/>
  <c r="AK13" i="11"/>
  <c r="AJ13" i="11"/>
  <c r="AI13" i="11"/>
  <c r="AH13" i="11"/>
  <c r="AG13" i="11"/>
  <c r="AF13" i="11"/>
  <c r="AL13" i="11" s="1"/>
  <c r="AD13" i="11"/>
  <c r="AC13" i="11"/>
  <c r="AB13" i="11"/>
  <c r="AA13" i="11"/>
  <c r="Z13" i="11"/>
  <c r="Y13" i="11"/>
  <c r="AE13" i="11" s="1"/>
  <c r="U13" i="11"/>
  <c r="T13" i="11"/>
  <c r="S13" i="11"/>
  <c r="R13" i="11"/>
  <c r="Q13" i="11"/>
  <c r="P13" i="11"/>
  <c r="V13" i="11" s="1"/>
  <c r="N13" i="11"/>
  <c r="M13" i="11"/>
  <c r="L13" i="11"/>
  <c r="K13" i="11"/>
  <c r="J13" i="11"/>
  <c r="I13" i="11"/>
  <c r="O13" i="11" s="1"/>
  <c r="G13" i="11"/>
  <c r="F13" i="11"/>
  <c r="E13" i="11"/>
  <c r="D13" i="11"/>
  <c r="C13" i="11"/>
  <c r="B13" i="11"/>
  <c r="H13" i="11" s="1"/>
  <c r="AS12" i="11"/>
  <c r="V12" i="11"/>
  <c r="AS11" i="11"/>
  <c r="AL11" i="11"/>
  <c r="AE11" i="11"/>
  <c r="V11" i="11"/>
  <c r="O11" i="11"/>
  <c r="H11" i="11"/>
  <c r="AS10" i="11"/>
  <c r="AL10" i="11"/>
  <c r="AE10" i="11"/>
  <c r="V10" i="11"/>
  <c r="O10" i="11"/>
  <c r="H10" i="11"/>
  <c r="AR6" i="11"/>
  <c r="AQ6" i="11"/>
  <c r="AP6" i="11"/>
  <c r="AO6" i="11"/>
  <c r="AN6" i="11"/>
  <c r="AM6" i="11"/>
  <c r="AS6" i="11" s="1"/>
  <c r="AK6" i="11"/>
  <c r="AJ6" i="11"/>
  <c r="AI6" i="11"/>
  <c r="AH6" i="11"/>
  <c r="AG6" i="11"/>
  <c r="AF6" i="11"/>
  <c r="AL6" i="11" s="1"/>
  <c r="AD6" i="11"/>
  <c r="AC6" i="11"/>
  <c r="AB6" i="11"/>
  <c r="AA6" i="11"/>
  <c r="Z6" i="11"/>
  <c r="Y6" i="11"/>
  <c r="AE6" i="11" s="1"/>
  <c r="U6" i="11"/>
  <c r="T6" i="11"/>
  <c r="S6" i="11"/>
  <c r="R6" i="11"/>
  <c r="Q6" i="11"/>
  <c r="P6" i="11"/>
  <c r="V6" i="11" s="1"/>
  <c r="N6" i="11"/>
  <c r="M6" i="11"/>
  <c r="L6" i="11"/>
  <c r="K6" i="11"/>
  <c r="J6" i="11"/>
  <c r="I6" i="11"/>
  <c r="O6" i="11" s="1"/>
  <c r="G6" i="11"/>
  <c r="F6" i="11"/>
  <c r="E6" i="11"/>
  <c r="D6" i="11"/>
  <c r="C6" i="11"/>
  <c r="B6" i="11"/>
  <c r="H6" i="11" s="1"/>
  <c r="AS5" i="11"/>
  <c r="V5" i="11"/>
  <c r="AS4" i="11"/>
  <c r="AL4" i="11"/>
  <c r="AE4" i="11"/>
  <c r="V4" i="11"/>
  <c r="O4" i="11"/>
  <c r="H4" i="11"/>
  <c r="AS3" i="11"/>
  <c r="AL3" i="11"/>
  <c r="AE3" i="11"/>
  <c r="V3" i="11"/>
  <c r="O3" i="11"/>
  <c r="H3" i="11"/>
  <c r="P39" i="7"/>
  <c r="AA39" i="7"/>
  <c r="Z39" i="7"/>
  <c r="Y39" i="7"/>
  <c r="X39" i="7"/>
  <c r="W39" i="7"/>
  <c r="V39" i="7"/>
  <c r="AA38" i="7"/>
  <c r="Z38" i="7"/>
  <c r="Y38" i="7"/>
  <c r="X38" i="7"/>
  <c r="W38" i="7"/>
  <c r="V38" i="7"/>
  <c r="AA37" i="7"/>
  <c r="Z37" i="7"/>
  <c r="Y37" i="7"/>
  <c r="X37" i="7"/>
  <c r="W37" i="7"/>
  <c r="V37" i="7"/>
  <c r="U39" i="7"/>
  <c r="T39" i="7"/>
  <c r="S39" i="7"/>
  <c r="R39" i="7"/>
  <c r="Q39" i="7"/>
  <c r="U38" i="7"/>
  <c r="T38" i="7"/>
  <c r="S38" i="7"/>
  <c r="R38" i="7"/>
  <c r="Q38" i="7"/>
  <c r="P38" i="7"/>
  <c r="U37" i="7"/>
  <c r="T37" i="7"/>
  <c r="S37" i="7"/>
  <c r="R37" i="7"/>
  <c r="Q37" i="7"/>
  <c r="P37" i="7"/>
  <c r="V34" i="7"/>
  <c r="W34" i="7"/>
  <c r="X34" i="7"/>
  <c r="Y34" i="7"/>
  <c r="Z34" i="7"/>
  <c r="AA34" i="7"/>
  <c r="V35" i="7"/>
  <c r="W35" i="7"/>
  <c r="X35" i="7"/>
  <c r="Y35" i="7"/>
  <c r="Z35" i="7"/>
  <c r="AA35" i="7"/>
  <c r="P34" i="7"/>
  <c r="Q34" i="7"/>
  <c r="R34" i="7"/>
  <c r="S34" i="7"/>
  <c r="T34" i="7"/>
  <c r="U34" i="7"/>
  <c r="P35" i="7"/>
  <c r="Q35" i="7"/>
  <c r="R35" i="7"/>
  <c r="S35" i="7"/>
  <c r="T35" i="7"/>
  <c r="U35" i="7"/>
  <c r="Q33" i="7"/>
  <c r="R33" i="7"/>
  <c r="S33" i="7"/>
  <c r="T33" i="7"/>
  <c r="U33" i="7"/>
  <c r="V33" i="7"/>
  <c r="W33" i="7"/>
  <c r="X33" i="7"/>
  <c r="Y33" i="7"/>
  <c r="Z33" i="7"/>
  <c r="AA33" i="7"/>
  <c r="P33" i="7"/>
  <c r="P36" i="7"/>
  <c r="U36" i="7"/>
  <c r="T36" i="7"/>
  <c r="S36" i="7"/>
  <c r="R36" i="7"/>
  <c r="Q36" i="7"/>
  <c r="Q27" i="7"/>
  <c r="R27" i="7"/>
  <c r="S27" i="7"/>
  <c r="T27" i="7"/>
  <c r="U27" i="7"/>
  <c r="V27" i="7"/>
  <c r="W27" i="7"/>
  <c r="X27" i="7"/>
  <c r="Y27" i="7"/>
  <c r="Z27" i="7"/>
  <c r="AA27" i="7"/>
  <c r="P27" i="7"/>
  <c r="V25" i="7"/>
  <c r="W25" i="7"/>
  <c r="X25" i="7"/>
  <c r="Y25" i="7"/>
  <c r="Z25" i="7"/>
  <c r="AA25" i="7"/>
  <c r="V26" i="7"/>
  <c r="W26" i="7"/>
  <c r="X26" i="7"/>
  <c r="Y26" i="7"/>
  <c r="Z26" i="7"/>
  <c r="AA26" i="7"/>
  <c r="V28" i="7"/>
  <c r="W28" i="7"/>
  <c r="X28" i="7"/>
  <c r="Y28" i="7"/>
  <c r="Z28" i="7"/>
  <c r="AA28" i="7"/>
  <c r="V29" i="7"/>
  <c r="W29" i="7"/>
  <c r="X29" i="7"/>
  <c r="Y29" i="7"/>
  <c r="Z29" i="7"/>
  <c r="AA29" i="7"/>
  <c r="V30" i="7"/>
  <c r="W30" i="7"/>
  <c r="X30" i="7"/>
  <c r="Y30" i="7"/>
  <c r="Z30" i="7"/>
  <c r="AA30" i="7"/>
  <c r="P25" i="7"/>
  <c r="Q25" i="7"/>
  <c r="R25" i="7"/>
  <c r="S25" i="7"/>
  <c r="T25" i="7"/>
  <c r="U25" i="7"/>
  <c r="P26" i="7"/>
  <c r="Q26" i="7"/>
  <c r="R26" i="7"/>
  <c r="S26" i="7"/>
  <c r="T26" i="7"/>
  <c r="U26" i="7"/>
  <c r="P28" i="7"/>
  <c r="Q28" i="7"/>
  <c r="R28" i="7"/>
  <c r="S28" i="7"/>
  <c r="T28" i="7"/>
  <c r="U28" i="7"/>
  <c r="P29" i="7"/>
  <c r="Q29" i="7"/>
  <c r="R29" i="7"/>
  <c r="S29" i="7"/>
  <c r="T29" i="7"/>
  <c r="U29" i="7"/>
  <c r="P30" i="7"/>
  <c r="Q30" i="7"/>
  <c r="R30" i="7"/>
  <c r="S30" i="7"/>
  <c r="T30" i="7"/>
  <c r="U30" i="7"/>
  <c r="Q24" i="7"/>
  <c r="R24" i="7"/>
  <c r="S24" i="7"/>
  <c r="T24" i="7"/>
  <c r="U24" i="7"/>
  <c r="V24" i="7"/>
  <c r="W24" i="7"/>
  <c r="X24" i="7"/>
  <c r="Y24" i="7"/>
  <c r="Z24" i="7"/>
  <c r="AA24" i="7"/>
  <c r="P24" i="7"/>
  <c r="B28" i="7"/>
  <c r="B27" i="7"/>
  <c r="B26" i="7"/>
  <c r="B25" i="7"/>
  <c r="B24" i="7"/>
  <c r="B23" i="7"/>
  <c r="B22" i="7"/>
  <c r="B21" i="7"/>
  <c r="B4" i="7"/>
  <c r="B5" i="7"/>
  <c r="B6" i="7"/>
  <c r="B7" i="7"/>
  <c r="B8" i="7"/>
  <c r="B9" i="7"/>
  <c r="B10" i="7"/>
  <c r="B12" i="7"/>
  <c r="B13" i="7"/>
  <c r="B14" i="7"/>
  <c r="B15" i="7"/>
  <c r="B16" i="7"/>
  <c r="B17" i="7"/>
  <c r="B18" i="7"/>
  <c r="B19" i="7"/>
  <c r="B3" i="7"/>
  <c r="V48" i="6"/>
  <c r="V47" i="6"/>
  <c r="V46" i="6"/>
  <c r="V45" i="6"/>
  <c r="V44" i="6"/>
  <c r="V43" i="6"/>
  <c r="V42" i="6"/>
  <c r="O48" i="6"/>
  <c r="O47" i="6"/>
  <c r="O46" i="6"/>
  <c r="O45" i="6"/>
  <c r="O44" i="6"/>
  <c r="O43" i="6"/>
  <c r="O42" i="6"/>
  <c r="H48" i="6"/>
  <c r="H47" i="6"/>
  <c r="H46" i="6"/>
  <c r="H45" i="6"/>
  <c r="H44" i="6"/>
  <c r="H43" i="6"/>
  <c r="H42" i="6"/>
  <c r="V35" i="6"/>
  <c r="V34" i="6"/>
  <c r="V33" i="6"/>
  <c r="V32" i="6"/>
  <c r="V31" i="6"/>
  <c r="V30" i="6"/>
  <c r="V29" i="6"/>
  <c r="O35" i="6"/>
  <c r="O34" i="6"/>
  <c r="O33" i="6"/>
  <c r="O32" i="6"/>
  <c r="O31" i="6"/>
  <c r="O30" i="6"/>
  <c r="O29" i="6"/>
  <c r="H35" i="6"/>
  <c r="H34" i="6"/>
  <c r="H33" i="6"/>
  <c r="H32" i="6"/>
  <c r="H31" i="6"/>
  <c r="H30" i="6"/>
  <c r="H29" i="6"/>
  <c r="V22" i="6"/>
  <c r="V21" i="6"/>
  <c r="V20" i="6"/>
  <c r="V19" i="6"/>
  <c r="V18" i="6"/>
  <c r="V17" i="6"/>
  <c r="V16" i="6"/>
  <c r="O22" i="6"/>
  <c r="O21" i="6"/>
  <c r="O20" i="6"/>
  <c r="O19" i="6"/>
  <c r="O18" i="6"/>
  <c r="O17" i="6"/>
  <c r="O16" i="6"/>
  <c r="H17" i="6"/>
  <c r="H18" i="6"/>
  <c r="H19" i="6"/>
  <c r="H20" i="6"/>
  <c r="H21" i="6"/>
  <c r="H22" i="6"/>
  <c r="H16" i="6"/>
  <c r="V9" i="6"/>
  <c r="V8" i="6"/>
  <c r="V7" i="6"/>
  <c r="V6" i="6"/>
  <c r="V5" i="6"/>
  <c r="V4" i="6"/>
  <c r="V3" i="6"/>
  <c r="O9" i="6"/>
  <c r="O8" i="6"/>
  <c r="O7" i="6"/>
  <c r="O6" i="6"/>
  <c r="O5" i="6"/>
  <c r="O4" i="6"/>
  <c r="O3" i="6"/>
  <c r="H4" i="6"/>
  <c r="H5" i="6"/>
  <c r="H6" i="6"/>
  <c r="H7" i="6"/>
  <c r="H8" i="6"/>
  <c r="H9" i="6"/>
  <c r="H3" i="6"/>
  <c r="V62" i="11" l="1"/>
  <c r="AL62" i="11"/>
  <c r="AE62" i="11"/>
  <c r="AS62" i="11"/>
  <c r="AL55" i="11"/>
  <c r="AS55" i="11"/>
  <c r="AE55" i="11"/>
  <c r="V55" i="11"/>
  <c r="O55" i="11"/>
  <c r="H55" i="11"/>
  <c r="H62" i="11"/>
  <c r="CM48" i="11"/>
  <c r="CF34" i="11"/>
  <c r="BP13" i="11"/>
  <c r="BP6" i="11"/>
  <c r="BB20" i="11"/>
  <c r="H27" i="11"/>
  <c r="BP34" i="11"/>
  <c r="O27" i="11"/>
  <c r="AE34" i="11"/>
  <c r="BI6" i="11"/>
  <c r="AS41" i="11"/>
  <c r="AL27" i="11"/>
  <c r="BY48" i="11"/>
  <c r="BB34" i="11"/>
  <c r="O41" i="11"/>
  <c r="AL20" i="11"/>
</calcChain>
</file>

<file path=xl/sharedStrings.xml><?xml version="1.0" encoding="utf-8"?>
<sst xmlns="http://schemas.openxmlformats.org/spreadsheetml/2006/main" count="865" uniqueCount="129">
  <si>
    <t>Cell Line</t>
  </si>
  <si>
    <t>CO Concentration</t>
  </si>
  <si>
    <t>Duration</t>
  </si>
  <si>
    <t>Live/Dead</t>
  </si>
  <si>
    <t>Apoptosis</t>
  </si>
  <si>
    <t xml:space="preserve">Metabolism </t>
  </si>
  <si>
    <t>Passage Range</t>
  </si>
  <si>
    <t>Notes</t>
  </si>
  <si>
    <t>HUVEC</t>
  </si>
  <si>
    <t>Supplier</t>
  </si>
  <si>
    <t>Cat</t>
  </si>
  <si>
    <t>SH-SY5Y</t>
  </si>
  <si>
    <t>U87</t>
  </si>
  <si>
    <t>ECACC</t>
  </si>
  <si>
    <t>ThermoFisher (Gibco)</t>
  </si>
  <si>
    <t>C0035C</t>
  </si>
  <si>
    <t>Human Astrocytes: HA</t>
  </si>
  <si>
    <t>Cell Applications</t>
  </si>
  <si>
    <t>882A-05a</t>
  </si>
  <si>
    <t>P3-P10</t>
  </si>
  <si>
    <t>P9-P12</t>
  </si>
  <si>
    <t>P19-P23</t>
  </si>
  <si>
    <t>10, 20, 40, 100, 120, 400</t>
  </si>
  <si>
    <t>24h</t>
  </si>
  <si>
    <t>x3</t>
  </si>
  <si>
    <t>Human Umbilical Vein Endothelial Cell: HUVEC</t>
  </si>
  <si>
    <t>Technical Replicate</t>
  </si>
  <si>
    <t>Target (with bioloical replicate)</t>
  </si>
  <si>
    <t>U87 One</t>
  </si>
  <si>
    <t>Supplementary Info</t>
  </si>
  <si>
    <t>Levels (ppm)</t>
  </si>
  <si>
    <t>Populations</t>
  </si>
  <si>
    <t>Cells</t>
  </si>
  <si>
    <t>Live</t>
  </si>
  <si>
    <t>Dead</t>
  </si>
  <si>
    <t>Annexin V</t>
  </si>
  <si>
    <t>Double +</t>
  </si>
  <si>
    <t>PI</t>
  </si>
  <si>
    <t>U87 Two</t>
  </si>
  <si>
    <t>HUVEC One</t>
  </si>
  <si>
    <t>HUVEC Two</t>
  </si>
  <si>
    <t>HA One</t>
  </si>
  <si>
    <t>0.25 uM</t>
  </si>
  <si>
    <t>0.5 uM</t>
  </si>
  <si>
    <t>1uM</t>
  </si>
  <si>
    <t>HA Two</t>
  </si>
  <si>
    <t>Negative</t>
  </si>
  <si>
    <t>AV</t>
  </si>
  <si>
    <t>Controls</t>
  </si>
  <si>
    <t>U87 Three</t>
  </si>
  <si>
    <t>&lt;P35</t>
  </si>
  <si>
    <t>0ppm</t>
  </si>
  <si>
    <t>Average</t>
  </si>
  <si>
    <t>10ppm</t>
  </si>
  <si>
    <t>20ppm</t>
  </si>
  <si>
    <t>40ppm</t>
  </si>
  <si>
    <t>100ppm</t>
  </si>
  <si>
    <t>120ppm</t>
  </si>
  <si>
    <t>400ppm</t>
  </si>
  <si>
    <t>Run One</t>
  </si>
  <si>
    <t>Run Two</t>
  </si>
  <si>
    <t>HA</t>
  </si>
  <si>
    <t>1 in 10</t>
  </si>
  <si>
    <t>1 in 5</t>
  </si>
  <si>
    <t>Raw</t>
  </si>
  <si>
    <t>Protein Conc (ug/mL)</t>
  </si>
  <si>
    <t>Repeat</t>
  </si>
  <si>
    <t>Protein Concentrations (ug/mL)</t>
  </si>
  <si>
    <t>0ppm - HUVEC</t>
  </si>
  <si>
    <t>R1 Repeats</t>
  </si>
  <si>
    <t>R2 Repeats</t>
  </si>
  <si>
    <t>R3 Repeats</t>
  </si>
  <si>
    <t>0ppm - HA</t>
  </si>
  <si>
    <t>Res</t>
  </si>
  <si>
    <t>Media</t>
  </si>
  <si>
    <t>Blanks</t>
  </si>
  <si>
    <t>Corrected R</t>
  </si>
  <si>
    <t>10ppm - HUVEC</t>
  </si>
  <si>
    <t>10ppm - HA</t>
  </si>
  <si>
    <t>20ppm - HUVEC</t>
  </si>
  <si>
    <t>20ppm - HA</t>
  </si>
  <si>
    <t>40ppm - HUVEC</t>
  </si>
  <si>
    <t>40ppm - HA</t>
  </si>
  <si>
    <t>100ppm - HUVEC</t>
  </si>
  <si>
    <t>100ppm - HA</t>
  </si>
  <si>
    <t>120ppm - HUVEC</t>
  </si>
  <si>
    <t>120ppm - HA</t>
  </si>
  <si>
    <t>400ppm - HUVEC</t>
  </si>
  <si>
    <t>400ppm - HA</t>
  </si>
  <si>
    <t>0ppm - U87</t>
  </si>
  <si>
    <t>0ppm - SH</t>
  </si>
  <si>
    <t>10ppm - U87</t>
  </si>
  <si>
    <t>10ppm - SH</t>
  </si>
  <si>
    <t>20ppm - U87</t>
  </si>
  <si>
    <t>20ppm - SH</t>
  </si>
  <si>
    <t>40ppm - U87</t>
  </si>
  <si>
    <t>40ppm - SH</t>
  </si>
  <si>
    <t>100ppm - U87</t>
  </si>
  <si>
    <t>100ppm - SH</t>
  </si>
  <si>
    <t>120ppm - U87</t>
  </si>
  <si>
    <t>120ppm - SH</t>
  </si>
  <si>
    <t>400ppm - U87</t>
  </si>
  <si>
    <t>400ppm - SH</t>
  </si>
  <si>
    <t>Run Three</t>
  </si>
  <si>
    <t>Experiment</t>
  </si>
  <si>
    <t>Run 1</t>
  </si>
  <si>
    <t>Run 2</t>
  </si>
  <si>
    <t>Run 3</t>
  </si>
  <si>
    <t xml:space="preserve">Positive Control </t>
  </si>
  <si>
    <t>Live/Dead (flow)</t>
  </si>
  <si>
    <t>Apoptosis (flow)</t>
  </si>
  <si>
    <t>Metabolism (Fluorescent intensity)</t>
  </si>
  <si>
    <t>Protein Concentration (Colormetric)</t>
  </si>
  <si>
    <t>CO Exposure</t>
  </si>
  <si>
    <t>N/A (no cells to count)</t>
  </si>
  <si>
    <t xml:space="preserve">Protein </t>
  </si>
  <si>
    <t>Control (for +C above)</t>
  </si>
  <si>
    <t>Control</t>
  </si>
  <si>
    <t>Positive Control</t>
  </si>
  <si>
    <t>HA Three</t>
  </si>
  <si>
    <t>SH-SY5Y One</t>
  </si>
  <si>
    <t>SH-SY5Y Two</t>
  </si>
  <si>
    <t>SH-SY5Y Three</t>
  </si>
  <si>
    <t>Positive Controls 1</t>
  </si>
  <si>
    <t>Positive Controls 2</t>
  </si>
  <si>
    <t>Positive Controls 3</t>
  </si>
  <si>
    <t>HUVEC Three</t>
  </si>
  <si>
    <t>*All checked boxes indicate complete/in-progress work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</si>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</sst>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26">
    <xf numFmtId="0" fontId="0" fillId="0" borderId="0" xfId="0"/>
    <xf numFmtId="0" fontId="0" fillId="0" borderId="0" xfId="0" applyAlignment="1">
      <alignment vertical="center"/>
    </xf>
    <xf numFmtId="0" fontId="0" fillId="2" borderId="1" xfId="0" applyFill="1" applyBorder="1"/>
    <xf numFmtId="0" fontId="0" fillId="0" borderId="4" xfId="0" applyBorder="1"/>
    <xf numFmtId="0" fontId="0" fillId="0" borderId="6" xfId="0" applyBorder="1"/>
    <xf numFmtId="0" fontId="0" fillId="2" borderId="8" xfId="0" applyFill="1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2" borderId="13" xfId="0" applyFill="1" applyBorder="1"/>
    <xf numFmtId="0" fontId="0" fillId="2" borderId="14" xfId="0" applyFill="1" applyBorder="1"/>
    <xf numFmtId="0" fontId="0" fillId="0" borderId="14" xfId="0" applyBorder="1"/>
    <xf numFmtId="0" fontId="0" fillId="0" borderId="15" xfId="0" applyBorder="1"/>
    <xf numFmtId="0" fontId="1" fillId="0" borderId="22" xfId="0" applyFont="1" applyBorder="1"/>
    <xf numFmtId="0" fontId="1" fillId="0" borderId="23" xfId="0" applyFont="1" applyBorder="1"/>
    <xf numFmtId="0" fontId="0" fillId="0" borderId="13" xfId="0" applyBorder="1"/>
    <xf numFmtId="0" fontId="0" fillId="0" borderId="28" xfId="0" applyBorder="1"/>
    <xf numFmtId="0" fontId="0" fillId="0" borderId="3" xfId="0" applyBorder="1"/>
    <xf numFmtId="0" fontId="0" fillId="0" borderId="17" xfId="0" applyBorder="1"/>
    <xf numFmtId="0" fontId="0" fillId="0" borderId="18" xfId="0" applyBorder="1"/>
    <xf numFmtId="0" fontId="0" fillId="0" borderId="25" xfId="0" applyBorder="1"/>
    <xf numFmtId="0" fontId="0" fillId="0" borderId="16" xfId="0" applyBorder="1"/>
    <xf numFmtId="0" fontId="0" fillId="3" borderId="0" xfId="0" applyFill="1"/>
    <xf numFmtId="0" fontId="0" fillId="3" borderId="37" xfId="0" applyFill="1" applyBorder="1" applyAlignment="1">
      <alignment horizontal="center"/>
    </xf>
    <xf numFmtId="0" fontId="0" fillId="3" borderId="38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16" xfId="0" applyFill="1" applyBorder="1"/>
    <xf numFmtId="0" fontId="0" fillId="3" borderId="26" xfId="0" applyFill="1" applyBorder="1"/>
    <xf numFmtId="0" fontId="0" fillId="3" borderId="45" xfId="0" applyFill="1" applyBorder="1"/>
    <xf numFmtId="0" fontId="0" fillId="3" borderId="46" xfId="0" applyFill="1" applyBorder="1"/>
    <xf numFmtId="0" fontId="0" fillId="3" borderId="16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43" xfId="0" applyFill="1" applyBorder="1"/>
    <xf numFmtId="0" fontId="0" fillId="3" borderId="17" xfId="0" applyFill="1" applyBorder="1"/>
    <xf numFmtId="0" fontId="0" fillId="3" borderId="33" xfId="0" applyFill="1" applyBorder="1"/>
    <xf numFmtId="0" fontId="0" fillId="3" borderId="18" xfId="0" applyFill="1" applyBorder="1"/>
    <xf numFmtId="0" fontId="0" fillId="3" borderId="35" xfId="0" applyFill="1" applyBorder="1"/>
    <xf numFmtId="0" fontId="0" fillId="3" borderId="12" xfId="0" applyFill="1" applyBorder="1" applyAlignment="1">
      <alignment horizontal="center"/>
    </xf>
    <xf numFmtId="0" fontId="0" fillId="2" borderId="0" xfId="0" applyFill="1"/>
    <xf numFmtId="0" fontId="0" fillId="2" borderId="37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43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4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16" xfId="0" applyFill="1" applyBorder="1"/>
    <xf numFmtId="0" fontId="0" fillId="2" borderId="26" xfId="0" applyFill="1" applyBorder="1"/>
    <xf numFmtId="0" fontId="0" fillId="2" borderId="45" xfId="0" applyFill="1" applyBorder="1"/>
    <xf numFmtId="0" fontId="0" fillId="2" borderId="46" xfId="0" applyFill="1" applyBorder="1"/>
    <xf numFmtId="0" fontId="0" fillId="2" borderId="1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43" xfId="0" applyFill="1" applyBorder="1"/>
    <xf numFmtId="0" fontId="0" fillId="2" borderId="17" xfId="0" applyFill="1" applyBorder="1" applyAlignment="1">
      <alignment horizontal="center" vertical="center"/>
    </xf>
    <xf numFmtId="0" fontId="0" fillId="2" borderId="33" xfId="0" applyFill="1" applyBorder="1"/>
    <xf numFmtId="0" fontId="0" fillId="2" borderId="17" xfId="0" applyFill="1" applyBorder="1"/>
    <xf numFmtId="0" fontId="0" fillId="2" borderId="18" xfId="0" applyFill="1" applyBorder="1" applyAlignment="1">
      <alignment horizontal="center" vertical="center"/>
    </xf>
    <xf numFmtId="0" fontId="0" fillId="2" borderId="35" xfId="0" applyFill="1" applyBorder="1"/>
    <xf numFmtId="0" fontId="0" fillId="2" borderId="18" xfId="0" applyFill="1" applyBorder="1"/>
    <xf numFmtId="0" fontId="0" fillId="2" borderId="12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4" borderId="0" xfId="0" applyFill="1"/>
    <xf numFmtId="0" fontId="0" fillId="4" borderId="37" xfId="0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16" xfId="0" applyFill="1" applyBorder="1"/>
    <xf numFmtId="0" fontId="0" fillId="4" borderId="26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16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43" xfId="0" applyFill="1" applyBorder="1"/>
    <xf numFmtId="0" fontId="0" fillId="4" borderId="17" xfId="0" applyFill="1" applyBorder="1"/>
    <xf numFmtId="0" fontId="0" fillId="4" borderId="33" xfId="0" applyFill="1" applyBorder="1"/>
    <xf numFmtId="0" fontId="0" fillId="4" borderId="18" xfId="0" applyFill="1" applyBorder="1"/>
    <xf numFmtId="0" fontId="0" fillId="4" borderId="35" xfId="0" applyFill="1" applyBorder="1"/>
    <xf numFmtId="0" fontId="0" fillId="4" borderId="12" xfId="0" applyFill="1" applyBorder="1" applyAlignment="1">
      <alignment horizontal="center"/>
    </xf>
    <xf numFmtId="0" fontId="0" fillId="3" borderId="1" xfId="0" applyFill="1" applyBorder="1"/>
    <xf numFmtId="0" fontId="0" fillId="3" borderId="53" xfId="0" applyFill="1" applyBorder="1"/>
    <xf numFmtId="0" fontId="0" fillId="3" borderId="50" xfId="0" applyFill="1" applyBorder="1"/>
    <xf numFmtId="0" fontId="0" fillId="3" borderId="5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3" xfId="0" applyFill="1" applyBorder="1"/>
    <xf numFmtId="0" fontId="0" fillId="3" borderId="8" xfId="0" applyFill="1" applyBorder="1"/>
    <xf numFmtId="0" fontId="0" fillId="3" borderId="7" xfId="0" applyFill="1" applyBorder="1"/>
    <xf numFmtId="0" fontId="0" fillId="3" borderId="54" xfId="0" applyFill="1" applyBorder="1"/>
    <xf numFmtId="0" fontId="0" fillId="3" borderId="48" xfId="0" applyFill="1" applyBorder="1"/>
    <xf numFmtId="0" fontId="0" fillId="3" borderId="52" xfId="0" applyFill="1" applyBorder="1"/>
    <xf numFmtId="0" fontId="1" fillId="3" borderId="50" xfId="0" applyFont="1" applyFill="1" applyBorder="1"/>
    <xf numFmtId="0" fontId="1" fillId="3" borderId="5" xfId="0" applyFont="1" applyFill="1" applyBorder="1"/>
    <xf numFmtId="0" fontId="1" fillId="3" borderId="15" xfId="0" applyFont="1" applyFill="1" applyBorder="1"/>
    <xf numFmtId="0" fontId="1" fillId="3" borderId="45" xfId="0" applyFont="1" applyFill="1" applyBorder="1"/>
    <xf numFmtId="0" fontId="1" fillId="3" borderId="17" xfId="0" applyFont="1" applyFill="1" applyBorder="1"/>
    <xf numFmtId="0" fontId="1" fillId="2" borderId="57" xfId="0" applyFont="1" applyFill="1" applyBorder="1"/>
    <xf numFmtId="0" fontId="1" fillId="2" borderId="55" xfId="0" applyFont="1" applyFill="1" applyBorder="1"/>
    <xf numFmtId="0" fontId="1" fillId="2" borderId="58" xfId="0" applyFont="1" applyFill="1" applyBorder="1"/>
    <xf numFmtId="0" fontId="1" fillId="2" borderId="10" xfId="0" applyFont="1" applyFill="1" applyBorder="1"/>
    <xf numFmtId="0" fontId="0" fillId="2" borderId="2" xfId="0" applyFill="1" applyBorder="1"/>
    <xf numFmtId="0" fontId="0" fillId="2" borderId="49" xfId="0" applyFill="1" applyBorder="1"/>
    <xf numFmtId="0" fontId="0" fillId="2" borderId="51" xfId="0" applyFill="1" applyBorder="1"/>
    <xf numFmtId="0" fontId="0" fillId="2" borderId="28" xfId="0" applyFill="1" applyBorder="1"/>
    <xf numFmtId="0" fontId="1" fillId="2" borderId="11" xfId="0" applyFont="1" applyFill="1" applyBorder="1"/>
    <xf numFmtId="0" fontId="0" fillId="2" borderId="53" xfId="0" applyFill="1" applyBorder="1"/>
    <xf numFmtId="0" fontId="0" fillId="2" borderId="48" xfId="0" applyFill="1" applyBorder="1"/>
    <xf numFmtId="0" fontId="1" fillId="2" borderId="12" xfId="0" applyFont="1" applyFill="1" applyBorder="1"/>
    <xf numFmtId="0" fontId="0" fillId="2" borderId="50" xfId="0" applyFill="1" applyBorder="1"/>
    <xf numFmtId="0" fontId="0" fillId="2" borderId="5" xfId="0" applyFill="1" applyBorder="1"/>
    <xf numFmtId="0" fontId="0" fillId="2" borderId="52" xfId="0" applyFill="1" applyBorder="1"/>
    <xf numFmtId="0" fontId="0" fillId="2" borderId="15" xfId="0" applyFill="1" applyBorder="1"/>
    <xf numFmtId="0" fontId="1" fillId="3" borderId="52" xfId="0" applyFont="1" applyFill="1" applyBorder="1"/>
    <xf numFmtId="0" fontId="1" fillId="3" borderId="44" xfId="0" applyFont="1" applyFill="1" applyBorder="1" applyAlignment="1">
      <alignment horizontal="right"/>
    </xf>
    <xf numFmtId="0" fontId="0" fillId="3" borderId="45" xfId="0" applyFill="1" applyBorder="1" applyAlignment="1">
      <alignment horizontal="center"/>
    </xf>
    <xf numFmtId="0" fontId="1" fillId="2" borderId="56" xfId="0" applyFont="1" applyFill="1" applyBorder="1"/>
    <xf numFmtId="0" fontId="1" fillId="2" borderId="20" xfId="0" applyFont="1" applyFill="1" applyBorder="1" applyAlignment="1">
      <alignment horizontal="right"/>
    </xf>
    <xf numFmtId="0" fontId="1" fillId="4" borderId="57" xfId="0" applyFont="1" applyFill="1" applyBorder="1"/>
    <xf numFmtId="0" fontId="1" fillId="4" borderId="55" xfId="0" applyFont="1" applyFill="1" applyBorder="1"/>
    <xf numFmtId="0" fontId="1" fillId="4" borderId="56" xfId="0" applyFont="1" applyFill="1" applyBorder="1"/>
    <xf numFmtId="0" fontId="1" fillId="4" borderId="20" xfId="0" applyFont="1" applyFill="1" applyBorder="1" applyAlignment="1">
      <alignment horizontal="right"/>
    </xf>
    <xf numFmtId="0" fontId="1" fillId="4" borderId="58" xfId="0" applyFont="1" applyFill="1" applyBorder="1"/>
    <xf numFmtId="0" fontId="1" fillId="4" borderId="10" xfId="0" applyFont="1" applyFill="1" applyBorder="1"/>
    <xf numFmtId="0" fontId="0" fillId="4" borderId="2" xfId="0" applyFill="1" applyBorder="1"/>
    <xf numFmtId="0" fontId="0" fillId="4" borderId="49" xfId="0" applyFill="1" applyBorder="1"/>
    <xf numFmtId="0" fontId="0" fillId="4" borderId="51" xfId="0" applyFill="1" applyBorder="1"/>
    <xf numFmtId="0" fontId="0" fillId="4" borderId="28" xfId="0" applyFill="1" applyBorder="1"/>
    <xf numFmtId="0" fontId="1" fillId="4" borderId="11" xfId="0" applyFont="1" applyFill="1" applyBorder="1"/>
    <xf numFmtId="0" fontId="0" fillId="4" borderId="53" xfId="0" applyFill="1" applyBorder="1"/>
    <xf numFmtId="0" fontId="0" fillId="4" borderId="1" xfId="0" applyFill="1" applyBorder="1"/>
    <xf numFmtId="0" fontId="0" fillId="4" borderId="48" xfId="0" applyFill="1" applyBorder="1"/>
    <xf numFmtId="0" fontId="0" fillId="4" borderId="14" xfId="0" applyFill="1" applyBorder="1"/>
    <xf numFmtId="0" fontId="1" fillId="4" borderId="12" xfId="0" applyFont="1" applyFill="1" applyBorder="1"/>
    <xf numFmtId="0" fontId="0" fillId="4" borderId="50" xfId="0" applyFill="1" applyBorder="1"/>
    <xf numFmtId="0" fontId="0" fillId="4" borderId="5" xfId="0" applyFill="1" applyBorder="1"/>
    <xf numFmtId="0" fontId="0" fillId="4" borderId="52" xfId="0" applyFill="1" applyBorder="1"/>
    <xf numFmtId="0" fontId="0" fillId="4" borderId="15" xfId="0" applyFill="1" applyBorder="1"/>
    <xf numFmtId="0" fontId="1" fillId="5" borderId="57" xfId="0" applyFont="1" applyFill="1" applyBorder="1"/>
    <xf numFmtId="0" fontId="1" fillId="5" borderId="55" xfId="0" applyFont="1" applyFill="1" applyBorder="1"/>
    <xf numFmtId="0" fontId="1" fillId="5" borderId="56" xfId="0" applyFont="1" applyFill="1" applyBorder="1"/>
    <xf numFmtId="0" fontId="1" fillId="5" borderId="20" xfId="0" applyFont="1" applyFill="1" applyBorder="1" applyAlignment="1">
      <alignment horizontal="right"/>
    </xf>
    <xf numFmtId="0" fontId="1" fillId="5" borderId="58" xfId="0" applyFont="1" applyFill="1" applyBorder="1"/>
    <xf numFmtId="0" fontId="1" fillId="5" borderId="10" xfId="0" applyFont="1" applyFill="1" applyBorder="1"/>
    <xf numFmtId="0" fontId="0" fillId="5" borderId="2" xfId="0" applyFill="1" applyBorder="1"/>
    <xf numFmtId="0" fontId="0" fillId="5" borderId="49" xfId="0" applyFill="1" applyBorder="1"/>
    <xf numFmtId="0" fontId="0" fillId="5" borderId="28" xfId="0" applyFill="1" applyBorder="1"/>
    <xf numFmtId="0" fontId="1" fillId="5" borderId="11" xfId="0" applyFont="1" applyFill="1" applyBorder="1"/>
    <xf numFmtId="0" fontId="0" fillId="5" borderId="53" xfId="0" applyFill="1" applyBorder="1"/>
    <xf numFmtId="0" fontId="0" fillId="5" borderId="1" xfId="0" applyFill="1" applyBorder="1"/>
    <xf numFmtId="0" fontId="0" fillId="5" borderId="14" xfId="0" applyFill="1" applyBorder="1"/>
    <xf numFmtId="0" fontId="1" fillId="5" borderId="12" xfId="0" applyFont="1" applyFill="1" applyBorder="1"/>
    <xf numFmtId="0" fontId="0" fillId="5" borderId="50" xfId="0" applyFill="1" applyBorder="1"/>
    <xf numFmtId="0" fontId="0" fillId="5" borderId="5" xfId="0" applyFill="1" applyBorder="1"/>
    <xf numFmtId="0" fontId="0" fillId="5" borderId="15" xfId="0" applyFill="1" applyBorder="1"/>
    <xf numFmtId="0" fontId="0" fillId="5" borderId="16" xfId="0" applyFill="1" applyBorder="1"/>
    <xf numFmtId="0" fontId="0" fillId="5" borderId="17" xfId="0" applyFill="1" applyBorder="1"/>
    <xf numFmtId="0" fontId="0" fillId="5" borderId="18" xfId="0" applyFill="1" applyBorder="1"/>
    <xf numFmtId="0" fontId="0" fillId="6" borderId="16" xfId="0" applyFill="1" applyBorder="1" applyAlignment="1">
      <alignment horizontal="center"/>
    </xf>
    <xf numFmtId="0" fontId="0" fillId="6" borderId="45" xfId="0" applyFill="1" applyBorder="1"/>
    <xf numFmtId="0" fontId="0" fillId="6" borderId="13" xfId="0" applyFill="1" applyBorder="1" applyAlignment="1">
      <alignment horizontal="right"/>
    </xf>
    <xf numFmtId="0" fontId="0" fillId="6" borderId="8" xfId="0" applyFill="1" applyBorder="1" applyAlignment="1">
      <alignment horizontal="right"/>
    </xf>
    <xf numFmtId="0" fontId="0" fillId="6" borderId="54" xfId="0" applyFill="1" applyBorder="1" applyAlignment="1">
      <alignment horizontal="right"/>
    </xf>
    <xf numFmtId="0" fontId="0" fillId="6" borderId="7" xfId="0" applyFill="1" applyBorder="1" applyAlignment="1">
      <alignment horizontal="right"/>
    </xf>
    <xf numFmtId="0" fontId="0" fillId="6" borderId="9" xfId="0" applyFill="1" applyBorder="1" applyAlignment="1">
      <alignment horizontal="right"/>
    </xf>
    <xf numFmtId="0" fontId="0" fillId="6" borderId="17" xfId="0" applyFill="1" applyBorder="1"/>
    <xf numFmtId="0" fontId="0" fillId="6" borderId="14" xfId="0" applyFill="1" applyBorder="1" applyAlignment="1">
      <alignment horizontal="right"/>
    </xf>
    <xf numFmtId="0" fontId="0" fillId="6" borderId="1" xfId="0" applyFill="1" applyBorder="1" applyAlignment="1">
      <alignment horizontal="right"/>
    </xf>
    <xf numFmtId="0" fontId="0" fillId="6" borderId="48" xfId="0" applyFill="1" applyBorder="1" applyAlignment="1">
      <alignment horizontal="right"/>
    </xf>
    <xf numFmtId="0" fontId="0" fillId="6" borderId="53" xfId="0" applyFill="1" applyBorder="1" applyAlignment="1">
      <alignment horizontal="right"/>
    </xf>
    <xf numFmtId="0" fontId="0" fillId="6" borderId="4" xfId="0" applyFill="1" applyBorder="1" applyAlignment="1">
      <alignment horizontal="right"/>
    </xf>
    <xf numFmtId="0" fontId="0" fillId="6" borderId="18" xfId="0" applyFill="1" applyBorder="1"/>
    <xf numFmtId="0" fontId="0" fillId="6" borderId="15" xfId="0" applyFill="1" applyBorder="1" applyAlignment="1">
      <alignment horizontal="right"/>
    </xf>
    <xf numFmtId="0" fontId="0" fillId="6" borderId="5" xfId="0" applyFill="1" applyBorder="1" applyAlignment="1">
      <alignment horizontal="right"/>
    </xf>
    <xf numFmtId="0" fontId="0" fillId="6" borderId="52" xfId="0" applyFill="1" applyBorder="1" applyAlignment="1">
      <alignment horizontal="right"/>
    </xf>
    <xf numFmtId="0" fontId="0" fillId="6" borderId="50" xfId="0" applyFill="1" applyBorder="1" applyAlignment="1">
      <alignment horizontal="right"/>
    </xf>
    <xf numFmtId="0" fontId="0" fillId="6" borderId="6" xfId="0" applyFill="1" applyBorder="1" applyAlignment="1">
      <alignment horizontal="right"/>
    </xf>
    <xf numFmtId="0" fontId="0" fillId="5" borderId="30" xfId="0" applyFill="1" applyBorder="1" applyAlignment="1">
      <alignment horizontal="center"/>
    </xf>
    <xf numFmtId="0" fontId="0" fillId="5" borderId="10" xfId="0" applyFill="1" applyBorder="1"/>
    <xf numFmtId="0" fontId="0" fillId="5" borderId="3" xfId="0" applyFill="1" applyBorder="1"/>
    <xf numFmtId="0" fontId="0" fillId="5" borderId="11" xfId="0" applyFill="1" applyBorder="1"/>
    <xf numFmtId="0" fontId="0" fillId="5" borderId="4" xfId="0" applyFill="1" applyBorder="1"/>
    <xf numFmtId="0" fontId="0" fillId="5" borderId="53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0" fontId="0" fillId="5" borderId="4" xfId="0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5" borderId="66" xfId="0" applyFill="1" applyBorder="1"/>
    <xf numFmtId="0" fontId="0" fillId="5" borderId="57" xfId="0" applyFill="1" applyBorder="1"/>
    <xf numFmtId="0" fontId="0" fillId="5" borderId="55" xfId="0" applyFill="1" applyBorder="1"/>
    <xf numFmtId="0" fontId="0" fillId="5" borderId="55" xfId="0" applyFill="1" applyBorder="1" applyAlignment="1">
      <alignment horizontal="right"/>
    </xf>
    <xf numFmtId="0" fontId="0" fillId="5" borderId="65" xfId="0" applyFill="1" applyBorder="1" applyAlignment="1">
      <alignment horizontal="right"/>
    </xf>
    <xf numFmtId="0" fontId="0" fillId="5" borderId="58" xfId="0" applyFill="1" applyBorder="1" applyAlignment="1">
      <alignment horizontal="right"/>
    </xf>
    <xf numFmtId="0" fontId="1" fillId="0" borderId="0" xfId="0" applyFont="1"/>
    <xf numFmtId="0" fontId="0" fillId="0" borderId="45" xfId="0" applyBorder="1"/>
    <xf numFmtId="0" fontId="0" fillId="3" borderId="6" xfId="0" applyFill="1" applyBorder="1"/>
    <xf numFmtId="0" fontId="0" fillId="2" borderId="6" xfId="0" applyFill="1" applyBorder="1"/>
    <xf numFmtId="0" fontId="0" fillId="3" borderId="25" xfId="0" applyFill="1" applyBorder="1"/>
    <xf numFmtId="0" fontId="0" fillId="3" borderId="2" xfId="0" applyFill="1" applyBorder="1"/>
    <xf numFmtId="0" fontId="0" fillId="3" borderId="49" xfId="0" applyFill="1" applyBorder="1"/>
    <xf numFmtId="0" fontId="0" fillId="3" borderId="51" xfId="0" applyFill="1" applyBorder="1"/>
    <xf numFmtId="0" fontId="0" fillId="3" borderId="28" xfId="0" applyFill="1" applyBorder="1"/>
    <xf numFmtId="0" fontId="0" fillId="3" borderId="3" xfId="0" applyFill="1" applyBorder="1"/>
    <xf numFmtId="0" fontId="0" fillId="2" borderId="25" xfId="0" applyFill="1" applyBorder="1"/>
    <xf numFmtId="0" fontId="0" fillId="2" borderId="3" xfId="0" applyFill="1" applyBorder="1"/>
    <xf numFmtId="0" fontId="0" fillId="3" borderId="11" xfId="0" applyFill="1" applyBorder="1"/>
    <xf numFmtId="0" fontId="0" fillId="3" borderId="55" xfId="0" applyFill="1" applyBorder="1"/>
    <xf numFmtId="0" fontId="0" fillId="3" borderId="56" xfId="0" applyFill="1" applyBorder="1"/>
    <xf numFmtId="0" fontId="0" fillId="3" borderId="67" xfId="0" applyFill="1" applyBorder="1"/>
    <xf numFmtId="0" fontId="0" fillId="3" borderId="58" xfId="0" applyFill="1" applyBorder="1"/>
    <xf numFmtId="0" fontId="0" fillId="3" borderId="65" xfId="0" applyFill="1" applyBorder="1"/>
    <xf numFmtId="0" fontId="0" fillId="2" borderId="11" xfId="0" applyFill="1" applyBorder="1"/>
    <xf numFmtId="0" fontId="0" fillId="2" borderId="55" xfId="0" applyFill="1" applyBorder="1"/>
    <xf numFmtId="0" fontId="0" fillId="2" borderId="56" xfId="0" applyFill="1" applyBorder="1"/>
    <xf numFmtId="0" fontId="0" fillId="2" borderId="67" xfId="0" applyFill="1" applyBorder="1"/>
    <xf numFmtId="0" fontId="0" fillId="2" borderId="58" xfId="0" applyFill="1" applyBorder="1"/>
    <xf numFmtId="0" fontId="0" fillId="2" borderId="65" xfId="0" applyFill="1" applyBorder="1"/>
    <xf numFmtId="0" fontId="0" fillId="3" borderId="66" xfId="0" applyFill="1" applyBorder="1"/>
    <xf numFmtId="0" fontId="0" fillId="3" borderId="34" xfId="0" applyFill="1" applyBorder="1"/>
    <xf numFmtId="0" fontId="0" fillId="2" borderId="66" xfId="0" applyFill="1" applyBorder="1"/>
    <xf numFmtId="0" fontId="0" fillId="2" borderId="34" xfId="0" applyFill="1" applyBorder="1"/>
    <xf numFmtId="0" fontId="1" fillId="3" borderId="44" xfId="0" applyFont="1" applyFill="1" applyBorder="1"/>
    <xf numFmtId="0" fontId="0" fillId="3" borderId="68" xfId="0" applyFill="1" applyBorder="1"/>
    <xf numFmtId="0" fontId="0" fillId="3" borderId="41" xfId="0" applyFill="1" applyBorder="1"/>
    <xf numFmtId="0" fontId="0" fillId="3" borderId="23" xfId="0" applyFill="1" applyBorder="1"/>
    <xf numFmtId="0" fontId="0" fillId="3" borderId="69" xfId="0" applyFill="1" applyBorder="1"/>
    <xf numFmtId="0" fontId="0" fillId="3" borderId="21" xfId="0" applyFill="1" applyBorder="1"/>
    <xf numFmtId="0" fontId="1" fillId="2" borderId="44" xfId="0" applyFont="1" applyFill="1" applyBorder="1"/>
    <xf numFmtId="0" fontId="0" fillId="2" borderId="68" xfId="0" applyFill="1" applyBorder="1"/>
    <xf numFmtId="0" fontId="0" fillId="2" borderId="41" xfId="0" applyFill="1" applyBorder="1"/>
    <xf numFmtId="0" fontId="0" fillId="2" borderId="23" xfId="0" applyFill="1" applyBorder="1"/>
    <xf numFmtId="0" fontId="0" fillId="2" borderId="69" xfId="0" applyFill="1" applyBorder="1"/>
    <xf numFmtId="0" fontId="0" fillId="2" borderId="21" xfId="0" applyFill="1" applyBorder="1"/>
    <xf numFmtId="0" fontId="1" fillId="3" borderId="16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0" fillId="3" borderId="4" xfId="0" applyFill="1" applyBorder="1"/>
    <xf numFmtId="0" fontId="0" fillId="2" borderId="4" xfId="0" applyFill="1" applyBorder="1"/>
    <xf numFmtId="0" fontId="0" fillId="3" borderId="40" xfId="0" applyFill="1" applyBorder="1"/>
    <xf numFmtId="0" fontId="0" fillId="3" borderId="70" xfId="0" applyFill="1" applyBorder="1"/>
    <xf numFmtId="0" fontId="0" fillId="2" borderId="40" xfId="0" applyFill="1" applyBorder="1"/>
    <xf numFmtId="0" fontId="0" fillId="2" borderId="70" xfId="0" applyFill="1" applyBorder="1"/>
    <xf numFmtId="0" fontId="0" fillId="8" borderId="49" xfId="0" applyFill="1" applyBorder="1"/>
    <xf numFmtId="0" fontId="0" fillId="2" borderId="7" xfId="0" applyFill="1" applyBorder="1"/>
    <xf numFmtId="0" fontId="0" fillId="2" borderId="54" xfId="0" applyFill="1" applyBorder="1"/>
    <xf numFmtId="0" fontId="0" fillId="2" borderId="9" xfId="0" applyFill="1" applyBorder="1"/>
    <xf numFmtId="0" fontId="0" fillId="3" borderId="27" xfId="0" applyFill="1" applyBorder="1"/>
    <xf numFmtId="0" fontId="0" fillId="2" borderId="27" xfId="0" applyFill="1" applyBorder="1"/>
    <xf numFmtId="0" fontId="0" fillId="3" borderId="71" xfId="0" applyFill="1" applyBorder="1"/>
    <xf numFmtId="0" fontId="0" fillId="2" borderId="71" xfId="0" applyFill="1" applyBorder="1"/>
    <xf numFmtId="0" fontId="0" fillId="3" borderId="57" xfId="0" applyFill="1" applyBorder="1"/>
    <xf numFmtId="0" fontId="0" fillId="3" borderId="61" xfId="0" applyFill="1" applyBorder="1"/>
    <xf numFmtId="0" fontId="0" fillId="2" borderId="57" xfId="0" applyFill="1" applyBorder="1"/>
    <xf numFmtId="0" fontId="0" fillId="2" borderId="61" xfId="0" applyFill="1" applyBorder="1"/>
    <xf numFmtId="0" fontId="1" fillId="3" borderId="37" xfId="0" applyFont="1" applyFill="1" applyBorder="1"/>
    <xf numFmtId="0" fontId="0" fillId="3" borderId="42" xfId="0" applyFill="1" applyBorder="1"/>
    <xf numFmtId="0" fontId="0" fillId="3" borderId="63" xfId="0" applyFill="1" applyBorder="1"/>
    <xf numFmtId="0" fontId="1" fillId="2" borderId="37" xfId="0" applyFont="1" applyFill="1" applyBorder="1"/>
    <xf numFmtId="0" fontId="0" fillId="2" borderId="42" xfId="0" applyFill="1" applyBorder="1"/>
    <xf numFmtId="0" fontId="0" fillId="2" borderId="63" xfId="0" applyFill="1" applyBorder="1"/>
    <xf numFmtId="0" fontId="0" fillId="0" borderId="43" xfId="0" applyBorder="1"/>
    <xf numFmtId="0" fontId="0" fillId="5" borderId="16" xfId="0" applyFill="1" applyBorder="1" applyAlignment="1">
      <alignment horizontal="center"/>
    </xf>
    <xf numFmtId="0" fontId="0" fillId="5" borderId="52" xfId="0" applyFill="1" applyBorder="1"/>
    <xf numFmtId="0" fontId="0" fillId="5" borderId="6" xfId="0" applyFill="1" applyBorder="1"/>
    <xf numFmtId="0" fontId="0" fillId="5" borderId="25" xfId="0" applyFill="1" applyBorder="1"/>
    <xf numFmtId="0" fontId="0" fillId="5" borderId="27" xfId="0" applyFill="1" applyBorder="1"/>
    <xf numFmtId="0" fontId="0" fillId="5" borderId="51" xfId="0" applyFill="1" applyBorder="1"/>
    <xf numFmtId="0" fontId="0" fillId="5" borderId="65" xfId="0" applyFill="1" applyBorder="1"/>
    <xf numFmtId="0" fontId="0" fillId="5" borderId="71" xfId="0" applyFill="1" applyBorder="1"/>
    <xf numFmtId="0" fontId="0" fillId="5" borderId="58" xfId="0" applyFill="1" applyBorder="1"/>
    <xf numFmtId="0" fontId="0" fillId="5" borderId="56" xfId="0" applyFill="1" applyBorder="1"/>
    <xf numFmtId="0" fontId="0" fillId="5" borderId="67" xfId="0" applyFill="1" applyBorder="1"/>
    <xf numFmtId="0" fontId="0" fillId="5" borderId="61" xfId="0" applyFill="1" applyBorder="1"/>
    <xf numFmtId="0" fontId="1" fillId="5" borderId="44" xfId="0" applyFont="1" applyFill="1" applyBorder="1"/>
    <xf numFmtId="0" fontId="0" fillId="5" borderId="40" xfId="0" applyFill="1" applyBorder="1"/>
    <xf numFmtId="0" fontId="0" fillId="5" borderId="41" xfId="0" applyFill="1" applyBorder="1"/>
    <xf numFmtId="0" fontId="0" fillId="5" borderId="70" xfId="0" applyFill="1" applyBorder="1"/>
    <xf numFmtId="0" fontId="0" fillId="5" borderId="68" xfId="0" applyFill="1" applyBorder="1"/>
    <xf numFmtId="0" fontId="0" fillId="5" borderId="42" xfId="0" applyFill="1" applyBorder="1"/>
    <xf numFmtId="0" fontId="0" fillId="5" borderId="21" xfId="0" applyFill="1" applyBorder="1"/>
    <xf numFmtId="0" fontId="1" fillId="5" borderId="16" xfId="0" applyFont="1" applyFill="1" applyBorder="1" applyAlignment="1">
      <alignment horizontal="center"/>
    </xf>
    <xf numFmtId="0" fontId="0" fillId="5" borderId="48" xfId="0" applyFill="1" applyBorder="1"/>
    <xf numFmtId="0" fontId="0" fillId="5" borderId="33" xfId="0" applyFill="1" applyBorder="1"/>
    <xf numFmtId="0" fontId="0" fillId="5" borderId="34" xfId="0" applyFill="1" applyBorder="1"/>
    <xf numFmtId="0" fontId="1" fillId="5" borderId="37" xfId="0" applyFont="1" applyFill="1" applyBorder="1"/>
    <xf numFmtId="0" fontId="0" fillId="5" borderId="63" xfId="0" applyFill="1" applyBorder="1"/>
    <xf numFmtId="0" fontId="0" fillId="0" borderId="39" xfId="0" applyBorder="1"/>
    <xf numFmtId="0" fontId="0" fillId="0" borderId="38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5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3" borderId="2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49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5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48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4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2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49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5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5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48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4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46" xfId="0" applyFill="1" applyBorder="1"/>
    <xf numFmtId="0" fontId="0" fillId="5" borderId="7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8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5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48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4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35" xfId="0" applyFill="1" applyBorder="1"/>
    <xf numFmtId="0" fontId="0" fillId="5" borderId="50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5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52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26" xfId="0" applyFill="1" applyBorder="1"/>
    <xf numFmtId="0" fontId="0" fillId="6" borderId="2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49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5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33" xfId="0" applyFill="1" applyBorder="1"/>
    <xf numFmtId="0" fontId="0" fillId="6" borderId="5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48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4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61" xfId="0" applyFill="1" applyBorder="1"/>
    <xf numFmtId="0" fontId="0" fillId="6" borderId="35" xfId="0" applyFill="1" applyBorder="1"/>
    <xf numFmtId="0" fontId="0" fillId="6" borderId="50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5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52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50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5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52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50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5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52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15" xfId="0" applyFill="1" applyBorder="1"/>
    <xf numFmtId="0" fontId="0" fillId="6" borderId="5" xfId="0" applyFill="1" applyBorder="1"/>
    <xf numFmtId="0" fontId="0" fillId="6" borderId="52" xfId="0" applyFill="1" applyBorder="1"/>
    <xf numFmtId="0" fontId="0" fillId="6" borderId="6" xfId="0" applyFill="1" applyBorder="1"/>
    <xf numFmtId="0" fontId="0" fillId="6" borderId="25" xfId="0" applyFill="1" applyBorder="1"/>
    <xf numFmtId="0" fontId="0" fillId="6" borderId="2" xfId="0" applyFill="1" applyBorder="1"/>
    <xf numFmtId="0" fontId="0" fillId="6" borderId="49" xfId="0" applyFill="1" applyBorder="1"/>
    <xf numFmtId="0" fontId="0" fillId="6" borderId="51" xfId="0" applyFill="1" applyBorder="1"/>
    <xf numFmtId="0" fontId="0" fillId="6" borderId="16" xfId="0" applyFill="1" applyBorder="1"/>
    <xf numFmtId="0" fontId="0" fillId="6" borderId="28" xfId="0" applyFill="1" applyBorder="1"/>
    <xf numFmtId="0" fontId="0" fillId="6" borderId="3" xfId="0" applyFill="1" applyBorder="1"/>
    <xf numFmtId="0" fontId="0" fillId="6" borderId="11" xfId="0" applyFill="1" applyBorder="1"/>
    <xf numFmtId="0" fontId="0" fillId="6" borderId="53" xfId="0" applyFill="1" applyBorder="1"/>
    <xf numFmtId="0" fontId="0" fillId="6" borderId="1" xfId="0" applyFill="1" applyBorder="1"/>
    <xf numFmtId="0" fontId="0" fillId="6" borderId="55" xfId="0" applyFill="1" applyBorder="1"/>
    <xf numFmtId="0" fontId="0" fillId="6" borderId="56" xfId="0" applyFill="1" applyBorder="1"/>
    <xf numFmtId="0" fontId="0" fillId="6" borderId="67" xfId="0" applyFill="1" applyBorder="1"/>
    <xf numFmtId="0" fontId="0" fillId="6" borderId="58" xfId="0" applyFill="1" applyBorder="1"/>
    <xf numFmtId="0" fontId="0" fillId="6" borderId="65" xfId="0" applyFill="1" applyBorder="1"/>
    <xf numFmtId="0" fontId="0" fillId="6" borderId="66" xfId="0" applyFill="1" applyBorder="1"/>
    <xf numFmtId="0" fontId="0" fillId="6" borderId="50" xfId="0" applyFill="1" applyBorder="1"/>
    <xf numFmtId="0" fontId="0" fillId="6" borderId="48" xfId="0" applyFill="1" applyBorder="1"/>
    <xf numFmtId="0" fontId="0" fillId="6" borderId="34" xfId="0" applyFill="1" applyBorder="1"/>
    <xf numFmtId="0" fontId="1" fillId="6" borderId="44" xfId="0" applyFont="1" applyFill="1" applyBorder="1"/>
    <xf numFmtId="0" fontId="0" fillId="6" borderId="68" xfId="0" applyFill="1" applyBorder="1"/>
    <xf numFmtId="0" fontId="0" fillId="6" borderId="41" xfId="0" applyFill="1" applyBorder="1"/>
    <xf numFmtId="0" fontId="0" fillId="6" borderId="23" xfId="0" applyFill="1" applyBorder="1"/>
    <xf numFmtId="0" fontId="0" fillId="6" borderId="69" xfId="0" applyFill="1" applyBorder="1"/>
    <xf numFmtId="0" fontId="0" fillId="6" borderId="21" xfId="0" applyFill="1" applyBorder="1"/>
    <xf numFmtId="0" fontId="0" fillId="6" borderId="14" xfId="0" applyFill="1" applyBorder="1"/>
    <xf numFmtId="0" fontId="0" fillId="6" borderId="4" xfId="0" applyFill="1" applyBorder="1"/>
    <xf numFmtId="0" fontId="0" fillId="6" borderId="40" xfId="0" applyFill="1" applyBorder="1"/>
    <xf numFmtId="0" fontId="0" fillId="6" borderId="70" xfId="0" applyFill="1" applyBorder="1"/>
    <xf numFmtId="0" fontId="1" fillId="6" borderId="16" xfId="0" applyFont="1" applyFill="1" applyBorder="1" applyAlignment="1">
      <alignment horizontal="center"/>
    </xf>
    <xf numFmtId="0" fontId="0" fillId="6" borderId="27" xfId="0" applyFill="1" applyBorder="1"/>
    <xf numFmtId="0" fontId="0" fillId="6" borderId="71" xfId="0" applyFill="1" applyBorder="1"/>
    <xf numFmtId="0" fontId="0" fillId="6" borderId="57" xfId="0" applyFill="1" applyBorder="1"/>
    <xf numFmtId="0" fontId="1" fillId="6" borderId="37" xfId="0" applyFont="1" applyFill="1" applyBorder="1"/>
    <xf numFmtId="0" fontId="0" fillId="6" borderId="42" xfId="0" applyFill="1" applyBorder="1"/>
    <xf numFmtId="0" fontId="0" fillId="6" borderId="63" xfId="0" applyFill="1" applyBorder="1"/>
    <xf numFmtId="0" fontId="0" fillId="5" borderId="23" xfId="0" applyFill="1" applyBorder="1"/>
    <xf numFmtId="0" fontId="0" fillId="5" borderId="69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54" xfId="0" applyFill="1" applyBorder="1"/>
    <xf numFmtId="0" fontId="0" fillId="5" borderId="13" xfId="0" applyFill="1" applyBorder="1"/>
    <xf numFmtId="0" fontId="0" fillId="5" borderId="9" xfId="0" applyFill="1" applyBorder="1"/>
    <xf numFmtId="0" fontId="0" fillId="5" borderId="36" xfId="0" applyFill="1" applyBorder="1"/>
    <xf numFmtId="0" fontId="0" fillId="3" borderId="10" xfId="0" applyFill="1" applyBorder="1"/>
    <xf numFmtId="0" fontId="0" fillId="5" borderId="12" xfId="0" applyFill="1" applyBorder="1"/>
    <xf numFmtId="0" fontId="1" fillId="0" borderId="69" xfId="0" applyFont="1" applyBorder="1"/>
    <xf numFmtId="0" fontId="1" fillId="0" borderId="6" xfId="0" applyFont="1" applyBorder="1"/>
    <xf numFmtId="0" fontId="1" fillId="0" borderId="29" xfId="0" applyFont="1" applyBorder="1"/>
    <xf numFmtId="0" fontId="1" fillId="3" borderId="67" xfId="0" applyFont="1" applyFill="1" applyBorder="1"/>
    <xf numFmtId="0" fontId="1" fillId="3" borderId="25" xfId="0" applyFont="1" applyFill="1" applyBorder="1"/>
    <xf numFmtId="0" fontId="1" fillId="3" borderId="12" xfId="0" applyFont="1" applyFill="1" applyBorder="1"/>
    <xf numFmtId="0" fontId="0" fillId="3" borderId="36" xfId="0" applyFill="1" applyBorder="1"/>
    <xf numFmtId="0" fontId="1" fillId="2" borderId="25" xfId="0" applyFont="1" applyFill="1" applyBorder="1"/>
    <xf numFmtId="0" fontId="0" fillId="2" borderId="36" xfId="0" applyFill="1" applyBorder="1"/>
    <xf numFmtId="0" fontId="1" fillId="6" borderId="25" xfId="0" applyFont="1" applyFill="1" applyBorder="1"/>
    <xf numFmtId="0" fontId="1" fillId="6" borderId="12" xfId="0" applyFont="1" applyFill="1" applyBorder="1"/>
    <xf numFmtId="0" fontId="0" fillId="6" borderId="36" xfId="0" applyFill="1" applyBorder="1"/>
    <xf numFmtId="0" fontId="1" fillId="5" borderId="25" xfId="0" applyFont="1" applyFill="1" applyBorder="1"/>
    <xf numFmtId="0" fontId="0" fillId="5" borderId="26" xfId="0" applyFill="1" applyBorder="1"/>
    <xf numFmtId="0" fontId="0" fillId="5" borderId="37" xfId="0" applyFill="1" applyBorder="1" applyAlignment="1">
      <alignment horizontal="center"/>
    </xf>
    <xf numFmtId="0" fontId="0" fillId="5" borderId="38" xfId="0" applyFill="1" applyBorder="1" applyAlignment="1">
      <alignment horizontal="center"/>
    </xf>
    <xf numFmtId="0" fontId="0" fillId="5" borderId="43" xfId="0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0" fillId="5" borderId="47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5" borderId="44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45" xfId="0" applyFill="1" applyBorder="1"/>
    <xf numFmtId="0" fontId="0" fillId="5" borderId="11" xfId="0" applyFill="1" applyBorder="1" applyAlignment="1">
      <alignment horizontal="center"/>
    </xf>
    <xf numFmtId="0" fontId="0" fillId="5" borderId="43" xfId="0" applyFill="1" applyBorder="1"/>
    <xf numFmtId="0" fontId="0" fillId="5" borderId="0" xfId="0" applyFill="1"/>
    <xf numFmtId="0" fontId="0" fillId="5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37" xfId="0" applyFill="1" applyBorder="1" applyAlignment="1">
      <alignment horizontal="center"/>
    </xf>
    <xf numFmtId="0" fontId="0" fillId="6" borderId="44" xfId="0" applyFill="1" applyBorder="1" applyAlignment="1">
      <alignment horizontal="center"/>
    </xf>
    <xf numFmtId="0" fontId="0" fillId="6" borderId="38" xfId="0" applyFill="1" applyBorder="1" applyAlignment="1">
      <alignment horizontal="center"/>
    </xf>
    <xf numFmtId="0" fontId="0" fillId="6" borderId="46" xfId="0" applyFill="1" applyBorder="1"/>
    <xf numFmtId="0" fontId="0" fillId="6" borderId="16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6" borderId="39" xfId="0" applyFill="1" applyBorder="1" applyAlignment="1">
      <alignment horizontal="center"/>
    </xf>
    <xf numFmtId="0" fontId="0" fillId="5" borderId="54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9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30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31" xfId="0" applyFont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0" fillId="3" borderId="16" xfId="0" applyFill="1" applyBorder="1" applyAlignment="1">
      <alignment horizontal="left"/>
    </xf>
    <xf numFmtId="0" fontId="0" fillId="3" borderId="27" xfId="0" applyFill="1" applyBorder="1" applyAlignment="1">
      <alignment horizontal="left"/>
    </xf>
    <xf numFmtId="0" fontId="0" fillId="2" borderId="17" xfId="0" applyFill="1" applyBorder="1" applyAlignment="1">
      <alignment horizontal="left"/>
    </xf>
    <xf numFmtId="0" fontId="0" fillId="2" borderId="34" xfId="0" applyFill="1" applyBorder="1" applyAlignment="1">
      <alignment horizontal="left"/>
    </xf>
    <xf numFmtId="0" fontId="0" fillId="6" borderId="17" xfId="0" applyFill="1" applyBorder="1" applyAlignment="1">
      <alignment horizontal="left"/>
    </xf>
    <xf numFmtId="0" fontId="0" fillId="6" borderId="34" xfId="0" applyFill="1" applyBorder="1" applyAlignment="1">
      <alignment horizontal="left"/>
    </xf>
    <xf numFmtId="0" fontId="0" fillId="5" borderId="18" xfId="0" applyFill="1" applyBorder="1" applyAlignment="1">
      <alignment horizontal="left"/>
    </xf>
    <xf numFmtId="0" fontId="0" fillId="5" borderId="36" xfId="0" applyFill="1" applyBorder="1" applyAlignment="1">
      <alignment horizontal="left"/>
    </xf>
    <xf numFmtId="0" fontId="0" fillId="3" borderId="5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  <xf numFmtId="0" fontId="0" fillId="9" borderId="33" xfId="0" applyFill="1" applyBorder="1"/>
    <xf numFmtId="0" fontId="0" fillId="9" borderId="17" xfId="0" applyFill="1" applyBorder="1"/>
    <xf numFmtId="0" fontId="0" fillId="0" borderId="56" xfId="0" applyBorder="1" applyAlignment="1">
      <alignment horizontal="right"/>
    </xf>
    <xf numFmtId="0" fontId="0" fillId="0" borderId="61" xfId="0" applyBorder="1" applyAlignment="1">
      <alignment horizontal="right"/>
    </xf>
    <xf numFmtId="0" fontId="0" fillId="0" borderId="76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54" xfId="0" applyBorder="1" applyAlignment="1">
      <alignment horizontal="right"/>
    </xf>
    <xf numFmtId="0" fontId="0" fillId="0" borderId="46" xfId="0" applyBorder="1" applyAlignment="1">
      <alignment horizontal="right"/>
    </xf>
    <xf numFmtId="0" fontId="0" fillId="11" borderId="10" xfId="0" applyFill="1" applyBorder="1"/>
    <xf numFmtId="0" fontId="0" fillId="11" borderId="2" xfId="0" applyFill="1" applyBorder="1"/>
    <xf numFmtId="0" fontId="0" fillId="11" borderId="49" xfId="0" applyFill="1" applyBorder="1"/>
    <xf numFmtId="0" fontId="0" fillId="11" borderId="3" xfId="0" applyFill="1" applyBorder="1"/>
    <xf numFmtId="0" fontId="0" fillId="11" borderId="11" xfId="0" applyFill="1" applyBorder="1"/>
    <xf numFmtId="0" fontId="0" fillId="11" borderId="53" xfId="0" applyFill="1" applyBorder="1"/>
    <xf numFmtId="0" fontId="0" fillId="11" borderId="1" xfId="0" applyFill="1" applyBorder="1"/>
    <xf numFmtId="0" fontId="0" fillId="11" borderId="4" xfId="0" applyFill="1" applyBorder="1"/>
    <xf numFmtId="0" fontId="0" fillId="11" borderId="53" xfId="0" applyFill="1" applyBorder="1" applyAlignment="1">
      <alignment horizontal="right"/>
    </xf>
    <xf numFmtId="0" fontId="0" fillId="11" borderId="1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66" xfId="0" applyFill="1" applyBorder="1"/>
    <xf numFmtId="0" fontId="0" fillId="11" borderId="57" xfId="0" applyFill="1" applyBorder="1"/>
    <xf numFmtId="0" fontId="0" fillId="11" borderId="55" xfId="0" applyFill="1" applyBorder="1"/>
    <xf numFmtId="0" fontId="0" fillId="11" borderId="55" xfId="0" applyFill="1" applyBorder="1" applyAlignment="1">
      <alignment horizontal="right"/>
    </xf>
    <xf numFmtId="0" fontId="0" fillId="2" borderId="13" xfId="0" applyFill="1" applyBorder="1" applyAlignment="1">
      <alignment horizontal="right"/>
    </xf>
    <xf numFmtId="0" fontId="0" fillId="2" borderId="8" xfId="0" applyFill="1" applyBorder="1" applyAlignment="1">
      <alignment horizontal="right"/>
    </xf>
    <xf numFmtId="0" fontId="0" fillId="2" borderId="54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4" xfId="0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2" borderId="48" xfId="0" applyFill="1" applyBorder="1" applyAlignment="1">
      <alignment horizontal="right"/>
    </xf>
    <xf numFmtId="0" fontId="0" fillId="2" borderId="53" xfId="0" applyFill="1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15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52" xfId="0" applyFill="1" applyBorder="1" applyAlignment="1">
      <alignment horizontal="right"/>
    </xf>
    <xf numFmtId="0" fontId="0" fillId="2" borderId="50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11" borderId="5" xfId="0" applyFill="1" applyBorder="1" applyAlignment="1">
      <alignment horizontal="right"/>
    </xf>
    <xf numFmtId="0" fontId="0" fillId="11" borderId="6" xfId="0" applyFill="1" applyBorder="1" applyAlignment="1">
      <alignment horizontal="right"/>
    </xf>
    <xf numFmtId="0" fontId="0" fillId="11" borderId="50" xfId="0" applyFill="1" applyBorder="1" applyAlignment="1">
      <alignment horizontal="right"/>
    </xf>
    <xf numFmtId="0" fontId="0" fillId="11" borderId="48" xfId="0" applyFill="1" applyBorder="1"/>
    <xf numFmtId="0" fontId="0" fillId="11" borderId="52" xfId="0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0" fillId="2" borderId="49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11" borderId="2" xfId="0" applyFill="1" applyBorder="1" applyAlignment="1">
      <alignment horizontal="right"/>
    </xf>
    <xf numFmtId="0" fontId="0" fillId="11" borderId="49" xfId="0" applyFill="1" applyBorder="1" applyAlignment="1">
      <alignment horizontal="right"/>
    </xf>
    <xf numFmtId="0" fontId="0" fillId="11" borderId="3" xfId="0" applyFill="1" applyBorder="1" applyAlignment="1">
      <alignment horizontal="right"/>
    </xf>
    <xf numFmtId="0" fontId="0" fillId="11" borderId="51" xfId="0" applyFill="1" applyBorder="1" applyAlignment="1">
      <alignment horizontal="right"/>
    </xf>
    <xf numFmtId="0" fontId="0" fillId="11" borderId="48" xfId="0" applyFill="1" applyBorder="1" applyAlignment="1">
      <alignment horizontal="right"/>
    </xf>
    <xf numFmtId="0" fontId="0" fillId="2" borderId="10" xfId="0" applyFill="1" applyBorder="1"/>
    <xf numFmtId="0" fontId="0" fillId="2" borderId="12" xfId="0" applyFill="1" applyBorder="1"/>
    <xf numFmtId="0" fontId="0" fillId="2" borderId="51" xfId="0" applyFill="1" applyBorder="1" applyAlignment="1">
      <alignment horizontal="right"/>
    </xf>
    <xf numFmtId="0" fontId="0" fillId="11" borderId="25" xfId="0" applyFill="1" applyBorder="1"/>
    <xf numFmtId="0" fontId="0" fillId="11" borderId="56" xfId="0" applyFill="1" applyBorder="1" applyAlignment="1">
      <alignment horizontal="right"/>
    </xf>
    <xf numFmtId="0" fontId="0" fillId="2" borderId="16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20" fontId="0" fillId="2" borderId="28" xfId="0" applyNumberFormat="1" applyFill="1" applyBorder="1" applyAlignment="1">
      <alignment horizontal="center"/>
    </xf>
    <xf numFmtId="20" fontId="0" fillId="2" borderId="49" xfId="0" applyNumberFormat="1" applyFill="1" applyBorder="1" applyAlignment="1">
      <alignment horizontal="center"/>
    </xf>
    <xf numFmtId="20" fontId="0" fillId="2" borderId="51" xfId="0" applyNumberFormat="1" applyFill="1" applyBorder="1" applyAlignment="1">
      <alignment horizontal="center"/>
    </xf>
    <xf numFmtId="20" fontId="0" fillId="2" borderId="2" xfId="0" applyNumberFormat="1" applyFill="1" applyBorder="1" applyAlignment="1">
      <alignment horizontal="center"/>
    </xf>
    <xf numFmtId="20" fontId="0" fillId="2" borderId="3" xfId="0" applyNumberFormat="1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52" xfId="0" applyFill="1" applyBorder="1" applyAlignment="1">
      <alignment horizontal="center"/>
    </xf>
    <xf numFmtId="0" fontId="0" fillId="2" borderId="5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5" xfId="0" applyFill="1" applyBorder="1" applyAlignment="1">
      <alignment horizontal="center"/>
    </xf>
    <xf numFmtId="0" fontId="0" fillId="2" borderId="65" xfId="0" applyFill="1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0" fillId="11" borderId="62" xfId="0" applyFill="1" applyBorder="1" applyAlignment="1">
      <alignment horizontal="center"/>
    </xf>
    <xf numFmtId="20" fontId="0" fillId="11" borderId="2" xfId="0" applyNumberFormat="1" applyFill="1" applyBorder="1" applyAlignment="1">
      <alignment horizontal="center"/>
    </xf>
    <xf numFmtId="20" fontId="0" fillId="11" borderId="49" xfId="0" applyNumberFormat="1" applyFill="1" applyBorder="1" applyAlignment="1">
      <alignment horizontal="center"/>
    </xf>
    <xf numFmtId="20" fontId="0" fillId="11" borderId="3" xfId="0" applyNumberFormat="1" applyFill="1" applyBorder="1" applyAlignment="1">
      <alignment horizontal="center"/>
    </xf>
    <xf numFmtId="20" fontId="0" fillId="11" borderId="28" xfId="0" applyNumberFormat="1" applyFill="1" applyBorder="1" applyAlignment="1">
      <alignment horizontal="center"/>
    </xf>
    <xf numFmtId="0" fontId="0" fillId="11" borderId="57" xfId="0" applyFill="1" applyBorder="1" applyAlignment="1">
      <alignment horizontal="center"/>
    </xf>
    <xf numFmtId="0" fontId="0" fillId="11" borderId="55" xfId="0" applyFill="1" applyBorder="1" applyAlignment="1">
      <alignment horizontal="center"/>
    </xf>
    <xf numFmtId="0" fontId="0" fillId="11" borderId="65" xfId="0" applyFill="1" applyBorder="1" applyAlignment="1">
      <alignment horizontal="center"/>
    </xf>
    <xf numFmtId="0" fontId="0" fillId="11" borderId="58" xfId="0" applyFill="1" applyBorder="1" applyAlignment="1">
      <alignment horizontal="center"/>
    </xf>
    <xf numFmtId="20" fontId="0" fillId="2" borderId="13" xfId="0" applyNumberFormat="1" applyFill="1" applyBorder="1" applyAlignment="1">
      <alignment horizontal="center"/>
    </xf>
    <xf numFmtId="20" fontId="0" fillId="2" borderId="8" xfId="0" applyNumberFormat="1" applyFill="1" applyBorder="1" applyAlignment="1">
      <alignment horizontal="center"/>
    </xf>
    <xf numFmtId="20" fontId="0" fillId="2" borderId="54" xfId="0" applyNumberFormat="1" applyFill="1" applyBorder="1" applyAlignment="1">
      <alignment horizontal="center"/>
    </xf>
    <xf numFmtId="20" fontId="0" fillId="2" borderId="7" xfId="0" applyNumberFormat="1" applyFill="1" applyBorder="1" applyAlignment="1">
      <alignment horizontal="center"/>
    </xf>
    <xf numFmtId="20" fontId="0" fillId="2" borderId="9" xfId="0" applyNumberFormat="1" applyFill="1" applyBorder="1" applyAlignment="1">
      <alignment horizontal="center"/>
    </xf>
    <xf numFmtId="0" fontId="0" fillId="2" borderId="58" xfId="0" applyFill="1" applyBorder="1" applyAlignment="1">
      <alignment horizontal="center"/>
    </xf>
    <xf numFmtId="0" fontId="0" fillId="2" borderId="56" xfId="0" applyFill="1" applyBorder="1" applyAlignment="1">
      <alignment horizontal="center"/>
    </xf>
    <xf numFmtId="0" fontId="0" fillId="2" borderId="57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3" borderId="37" xfId="0" applyFont="1" applyFill="1" applyBorder="1" applyAlignment="1">
      <alignment horizontal="center"/>
    </xf>
    <xf numFmtId="0" fontId="1" fillId="3" borderId="38" xfId="0" applyFont="1" applyFill="1" applyBorder="1" applyAlignment="1">
      <alignment horizontal="center"/>
    </xf>
    <xf numFmtId="0" fontId="1" fillId="3" borderId="39" xfId="0" applyFont="1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3" borderId="38" xfId="0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37" xfId="0" applyFill="1" applyBorder="1" applyAlignment="1">
      <alignment horizont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1" fillId="6" borderId="37" xfId="0" applyFont="1" applyFill="1" applyBorder="1" applyAlignment="1">
      <alignment horizontal="center"/>
    </xf>
    <xf numFmtId="0" fontId="1" fillId="6" borderId="38" xfId="0" applyFont="1" applyFill="1" applyBorder="1" applyAlignment="1">
      <alignment horizontal="center"/>
    </xf>
    <xf numFmtId="0" fontId="1" fillId="6" borderId="39" xfId="0" applyFont="1" applyFill="1" applyBorder="1" applyAlignment="1">
      <alignment horizontal="center"/>
    </xf>
    <xf numFmtId="0" fontId="1" fillId="5" borderId="37" xfId="0" applyFont="1" applyFill="1" applyBorder="1" applyAlignment="1">
      <alignment horizontal="center"/>
    </xf>
    <xf numFmtId="0" fontId="1" fillId="5" borderId="38" xfId="0" applyFont="1" applyFill="1" applyBorder="1" applyAlignment="1">
      <alignment horizontal="center"/>
    </xf>
    <xf numFmtId="0" fontId="1" fillId="5" borderId="39" xfId="0" applyFont="1" applyFill="1" applyBorder="1" applyAlignment="1">
      <alignment horizontal="center"/>
    </xf>
    <xf numFmtId="0" fontId="0" fillId="5" borderId="37" xfId="0" applyFill="1" applyBorder="1" applyAlignment="1">
      <alignment horizontal="center"/>
    </xf>
    <xf numFmtId="0" fontId="0" fillId="5" borderId="38" xfId="0" applyFill="1" applyBorder="1" applyAlignment="1">
      <alignment horizontal="center"/>
    </xf>
    <xf numFmtId="0" fontId="0" fillId="5" borderId="39" xfId="0" applyFill="1" applyBorder="1" applyAlignment="1">
      <alignment horizontal="center"/>
    </xf>
    <xf numFmtId="0" fontId="0" fillId="5" borderId="43" xfId="0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40" xfId="0" applyFill="1" applyBorder="1" applyAlignment="1">
      <alignment horizontal="center"/>
    </xf>
    <xf numFmtId="0" fontId="0" fillId="5" borderId="41" xfId="0" applyFill="1" applyBorder="1" applyAlignment="1">
      <alignment horizontal="center"/>
    </xf>
    <xf numFmtId="0" fontId="0" fillId="5" borderId="42" xfId="0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1" fillId="2" borderId="38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0" fillId="2" borderId="43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1" fillId="4" borderId="37" xfId="0" applyFont="1" applyFill="1" applyBorder="1" applyAlignment="1">
      <alignment horizontal="center"/>
    </xf>
    <xf numFmtId="0" fontId="1" fillId="4" borderId="38" xfId="0" applyFont="1" applyFill="1" applyBorder="1" applyAlignment="1">
      <alignment horizontal="center"/>
    </xf>
    <xf numFmtId="0" fontId="1" fillId="4" borderId="39" xfId="0" applyFont="1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43" xfId="0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40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42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9" xfId="0" applyFont="1" applyFill="1" applyBorder="1" applyAlignment="1">
      <alignment horizontal="center"/>
    </xf>
    <xf numFmtId="0" fontId="1" fillId="3" borderId="59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3" borderId="60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1" fillId="5" borderId="49" xfId="0" applyFont="1" applyFill="1" applyBorder="1" applyAlignment="1">
      <alignment horizontal="center"/>
    </xf>
    <xf numFmtId="0" fontId="1" fillId="5" borderId="59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5" borderId="60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1" fillId="2" borderId="59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60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4" borderId="49" xfId="0" applyFont="1" applyFill="1" applyBorder="1" applyAlignment="1">
      <alignment horizontal="center"/>
    </xf>
    <xf numFmtId="0" fontId="1" fillId="4" borderId="59" xfId="0" applyFont="1" applyFill="1" applyBorder="1" applyAlignment="1">
      <alignment horizontal="center"/>
    </xf>
    <xf numFmtId="0" fontId="1" fillId="4" borderId="28" xfId="0" applyFont="1" applyFill="1" applyBorder="1" applyAlignment="1">
      <alignment horizontal="center"/>
    </xf>
    <xf numFmtId="0" fontId="1" fillId="4" borderId="60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49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20" xfId="0" applyFont="1" applyFill="1" applyBorder="1" applyAlignment="1">
      <alignment horizontal="center"/>
    </xf>
    <xf numFmtId="0" fontId="1" fillId="6" borderId="21" xfId="0" applyFont="1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1" fillId="5" borderId="51" xfId="0" applyFont="1" applyFill="1" applyBorder="1" applyAlignment="1">
      <alignment horizontal="center"/>
    </xf>
    <xf numFmtId="0" fontId="1" fillId="6" borderId="28" xfId="0" applyFont="1" applyFill="1" applyBorder="1" applyAlignment="1">
      <alignment horizontal="center"/>
    </xf>
    <xf numFmtId="0" fontId="1" fillId="6" borderId="51" xfId="0" applyFont="1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1" fillId="3" borderId="51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51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59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64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10" borderId="11" xfId="0" applyFill="1" applyBorder="1" applyAlignment="1">
      <alignment horizontal="center"/>
    </xf>
    <xf numFmtId="0" fontId="0" fillId="10" borderId="33" xfId="0" applyFill="1" applyBorder="1" applyAlignment="1">
      <alignment horizontal="center"/>
    </xf>
    <xf numFmtId="0" fontId="0" fillId="10" borderId="34" xfId="0" applyFill="1" applyBorder="1" applyAlignment="1">
      <alignment horizontal="center"/>
    </xf>
    <xf numFmtId="0" fontId="0" fillId="3" borderId="20" xfId="0" applyFill="1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6" borderId="43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43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20" fontId="0" fillId="5" borderId="28" xfId="0" applyNumberFormat="1" applyFill="1" applyBorder="1" applyAlignment="1">
      <alignment horizontal="center"/>
    </xf>
    <xf numFmtId="20" fontId="0" fillId="5" borderId="49" xfId="0" applyNumberFormat="1" applyFill="1" applyBorder="1" applyAlignment="1">
      <alignment horizontal="center"/>
    </xf>
    <xf numFmtId="20" fontId="0" fillId="5" borderId="3" xfId="0" applyNumberFormat="1" applyFill="1" applyBorder="1" applyAlignment="1">
      <alignment horizontal="center"/>
    </xf>
    <xf numFmtId="0" fontId="0" fillId="5" borderId="58" xfId="0" applyFill="1" applyBorder="1" applyAlignment="1">
      <alignment horizontal="center"/>
    </xf>
    <xf numFmtId="0" fontId="0" fillId="5" borderId="55" xfId="0" applyFill="1" applyBorder="1" applyAlignment="1">
      <alignment horizontal="center"/>
    </xf>
    <xf numFmtId="0" fontId="0" fillId="5" borderId="65" xfId="0" applyFill="1" applyBorder="1" applyAlignment="1">
      <alignment horizontal="center"/>
    </xf>
    <xf numFmtId="20" fontId="0" fillId="6" borderId="2" xfId="0" applyNumberFormat="1" applyFill="1" applyBorder="1" applyAlignment="1">
      <alignment horizontal="center"/>
    </xf>
    <xf numFmtId="20" fontId="0" fillId="6" borderId="49" xfId="0" applyNumberFormat="1" applyFill="1" applyBorder="1" applyAlignment="1">
      <alignment horizontal="center"/>
    </xf>
    <xf numFmtId="20" fontId="0" fillId="6" borderId="3" xfId="0" applyNumberFormat="1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52" xfId="0" applyFill="1" applyBorder="1" applyAlignment="1">
      <alignment horizontal="center"/>
    </xf>
    <xf numFmtId="0" fontId="0" fillId="6" borderId="5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5" borderId="62" xfId="0" applyFill="1" applyBorder="1" applyAlignment="1">
      <alignment horizontal="center"/>
    </xf>
    <xf numFmtId="20" fontId="0" fillId="5" borderId="2" xfId="0" applyNumberFormat="1" applyFill="1" applyBorder="1" applyAlignment="1">
      <alignment horizontal="center"/>
    </xf>
    <xf numFmtId="20" fontId="0" fillId="6" borderId="28" xfId="0" applyNumberFormat="1" applyFill="1" applyBorder="1" applyAlignment="1">
      <alignment horizontal="center"/>
    </xf>
    <xf numFmtId="20" fontId="0" fillId="6" borderId="51" xfId="0" applyNumberFormat="1" applyFill="1" applyBorder="1" applyAlignment="1">
      <alignment horizontal="center"/>
    </xf>
    <xf numFmtId="0" fontId="0" fillId="5" borderId="5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 Plate</a:t>
            </a:r>
            <a:r>
              <a:rPr lang="en-GB"/>
              <a:t>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8873094741392926"/>
                  <c:y val="-0.213963414634146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'Protein Concentration Cancer'!$A$3:$A$10</c:f>
              <c:numCache>
                <c:formatCode>General</c:formatCode>
                <c:ptCount val="8"/>
                <c:pt idx="0">
                  <c:v>1000</c:v>
                </c:pt>
                <c:pt idx="1">
                  <c:v>500</c:v>
                </c:pt>
                <c:pt idx="2">
                  <c:v>250</c:v>
                </c:pt>
                <c:pt idx="3">
                  <c:v>125</c:v>
                </c:pt>
                <c:pt idx="4">
                  <c:v>62.5</c:v>
                </c:pt>
                <c:pt idx="5">
                  <c:v>31.75</c:v>
                </c:pt>
                <c:pt idx="6">
                  <c:v>15</c:v>
                </c:pt>
                <c:pt idx="7">
                  <c:v>0</c:v>
                </c:pt>
              </c:numCache>
            </c:numRef>
          </c:xVal>
          <c:yVal>
            <c:numRef>
              <c:f>'Protein Concentration Cancer'!$B$3:$B$10</c:f>
              <c:numCache>
                <c:formatCode>General</c:formatCode>
                <c:ptCount val="8"/>
                <c:pt idx="0">
                  <c:v>0.94100000000000006</c:v>
                </c:pt>
                <c:pt idx="1">
                  <c:v>0.67300000000000004</c:v>
                </c:pt>
                <c:pt idx="2">
                  <c:v>0.4965</c:v>
                </c:pt>
                <c:pt idx="3">
                  <c:v>0.40100000000000002</c:v>
                </c:pt>
                <c:pt idx="4">
                  <c:v>0.32400000000000001</c:v>
                </c:pt>
                <c:pt idx="5">
                  <c:v>0.29499999999999998</c:v>
                </c:pt>
                <c:pt idx="6">
                  <c:v>0.28899999999999998</c:v>
                </c:pt>
                <c:pt idx="7">
                  <c:v>0.24049999999999999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E0-1949-943B-103BA8B71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792064"/>
        <c:axId val="480793856"/>
      </c:scatterChart>
      <c:valAx>
        <c:axId val="48079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793856"/>
        <c:crosses val="autoZero"/>
        <c:crossBetween val="midCat"/>
      </c:valAx>
      <c:valAx>
        <c:axId val="48079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792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Plate2</a:t>
            </a:r>
            <a:endParaRPr lang="en-US"/>
          </a:p>
        </c:rich>
      </c:tx>
      <c:layout>
        <c:manualLayout>
          <c:xMode val="edge"/>
          <c:yMode val="edge"/>
          <c:x val="0.46304893360560501"/>
          <c:y val="4.57578508942597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80599135327253"/>
                  <c:y val="-0.208211475405367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'Protein Concentration Cancer'!$A$12:$A$19</c:f>
              <c:numCache>
                <c:formatCode>General</c:formatCode>
                <c:ptCount val="8"/>
                <c:pt idx="0">
                  <c:v>1000</c:v>
                </c:pt>
                <c:pt idx="1">
                  <c:v>500</c:v>
                </c:pt>
                <c:pt idx="2">
                  <c:v>250</c:v>
                </c:pt>
                <c:pt idx="3">
                  <c:v>125</c:v>
                </c:pt>
                <c:pt idx="4">
                  <c:v>62.5</c:v>
                </c:pt>
                <c:pt idx="5">
                  <c:v>31.75</c:v>
                </c:pt>
                <c:pt idx="6">
                  <c:v>15</c:v>
                </c:pt>
                <c:pt idx="7">
                  <c:v>0</c:v>
                </c:pt>
              </c:numCache>
            </c:numRef>
          </c:xVal>
          <c:yVal>
            <c:numRef>
              <c:f>'Protein Concentration Cancer'!$B$12:$B$19</c:f>
              <c:numCache>
                <c:formatCode>General</c:formatCode>
                <c:ptCount val="8"/>
                <c:pt idx="0">
                  <c:v>1.038</c:v>
                </c:pt>
                <c:pt idx="1">
                  <c:v>0.66450000000000009</c:v>
                </c:pt>
                <c:pt idx="2">
                  <c:v>0.46300000000000002</c:v>
                </c:pt>
                <c:pt idx="3">
                  <c:v>0.38</c:v>
                </c:pt>
                <c:pt idx="4">
                  <c:v>0.3165</c:v>
                </c:pt>
                <c:pt idx="5">
                  <c:v>0.27400000000000002</c:v>
                </c:pt>
                <c:pt idx="6">
                  <c:v>0.27250000000000002</c:v>
                </c:pt>
                <c:pt idx="7">
                  <c:v>0.24399999999999999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5E-8844-B243-E40DF1258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0680512"/>
        <c:axId val="1700682304"/>
      </c:scatterChart>
      <c:valAx>
        <c:axId val="170068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682304"/>
        <c:crosses val="autoZero"/>
        <c:crossBetween val="midCat"/>
      </c:valAx>
      <c:valAx>
        <c:axId val="170068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680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GB"/>
              <a:t>Plate3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564687421189788"/>
                  <c:y val="-0.191748716384284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'Protein Concentration Cancer'!$A$21:$A$28</c:f>
              <c:numCache>
                <c:formatCode>General</c:formatCode>
                <c:ptCount val="8"/>
                <c:pt idx="0">
                  <c:v>1000</c:v>
                </c:pt>
                <c:pt idx="1">
                  <c:v>500</c:v>
                </c:pt>
                <c:pt idx="2">
                  <c:v>250</c:v>
                </c:pt>
                <c:pt idx="3">
                  <c:v>125</c:v>
                </c:pt>
                <c:pt idx="4">
                  <c:v>62.5</c:v>
                </c:pt>
                <c:pt idx="5">
                  <c:v>31.75</c:v>
                </c:pt>
                <c:pt idx="6">
                  <c:v>15</c:v>
                </c:pt>
                <c:pt idx="7">
                  <c:v>0</c:v>
                </c:pt>
              </c:numCache>
            </c:numRef>
          </c:xVal>
          <c:yVal>
            <c:numRef>
              <c:f>'Protein Concentration Cancer'!$B$21:$B$28</c:f>
              <c:numCache>
                <c:formatCode>General</c:formatCode>
                <c:ptCount val="8"/>
                <c:pt idx="0">
                  <c:v>1.0305</c:v>
                </c:pt>
                <c:pt idx="1">
                  <c:v>0.64</c:v>
                </c:pt>
                <c:pt idx="2">
                  <c:v>0.46150000000000002</c:v>
                </c:pt>
                <c:pt idx="3">
                  <c:v>0.376</c:v>
                </c:pt>
                <c:pt idx="4">
                  <c:v>0.32050000000000001</c:v>
                </c:pt>
                <c:pt idx="5">
                  <c:v>0.28449999999999998</c:v>
                </c:pt>
                <c:pt idx="6">
                  <c:v>0.26150000000000001</c:v>
                </c:pt>
                <c:pt idx="7">
                  <c:v>0.24099999999999999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EA-754A-850F-3117659BB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991040"/>
        <c:axId val="502992832"/>
      </c:scatterChart>
      <c:valAx>
        <c:axId val="50299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992832"/>
        <c:crosses val="autoZero"/>
        <c:crossBetween val="midCat"/>
      </c:valAx>
      <c:valAx>
        <c:axId val="50299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991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 Plate</a:t>
            </a:r>
            <a:r>
              <a:rPr lang="en-GB"/>
              <a:t>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8873094741392926"/>
                  <c:y val="-0.213963414634146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'Protein Concentration Healthy'!$A$3:$A$10</c:f>
              <c:numCache>
                <c:formatCode>General</c:formatCode>
                <c:ptCount val="8"/>
                <c:pt idx="0">
                  <c:v>1000</c:v>
                </c:pt>
                <c:pt idx="1">
                  <c:v>500</c:v>
                </c:pt>
                <c:pt idx="2">
                  <c:v>250</c:v>
                </c:pt>
                <c:pt idx="3">
                  <c:v>125</c:v>
                </c:pt>
                <c:pt idx="4">
                  <c:v>62.5</c:v>
                </c:pt>
                <c:pt idx="5">
                  <c:v>31.75</c:v>
                </c:pt>
                <c:pt idx="6">
                  <c:v>15</c:v>
                </c:pt>
                <c:pt idx="7">
                  <c:v>0</c:v>
                </c:pt>
              </c:numCache>
            </c:numRef>
          </c:xVal>
          <c:yVal>
            <c:numRef>
              <c:f>'Protein Concentration Healthy'!$B$3:$B$10</c:f>
              <c:numCache>
                <c:formatCode>General</c:formatCode>
                <c:ptCount val="8"/>
                <c:pt idx="0">
                  <c:v>0.96550000000000002</c:v>
                </c:pt>
                <c:pt idx="1">
                  <c:v>0.63749999999999996</c:v>
                </c:pt>
                <c:pt idx="2">
                  <c:v>0.45350000000000001</c:v>
                </c:pt>
                <c:pt idx="3">
                  <c:v>0.29599999999999999</c:v>
                </c:pt>
                <c:pt idx="4">
                  <c:v>0.2235</c:v>
                </c:pt>
                <c:pt idx="5">
                  <c:v>0.20600000000000002</c:v>
                </c:pt>
                <c:pt idx="6">
                  <c:v>0.16400000000000001</c:v>
                </c:pt>
                <c:pt idx="7">
                  <c:v>0.16149999999999998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8B-4891-B3F0-7D24B5320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792064"/>
        <c:axId val="480793856"/>
      </c:scatterChart>
      <c:valAx>
        <c:axId val="48079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793856"/>
        <c:crosses val="autoZero"/>
        <c:crossBetween val="midCat"/>
      </c:valAx>
      <c:valAx>
        <c:axId val="48079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792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Plate2</a:t>
            </a:r>
            <a:endParaRPr lang="en-US"/>
          </a:p>
        </c:rich>
      </c:tx>
      <c:layout>
        <c:manualLayout>
          <c:xMode val="edge"/>
          <c:yMode val="edge"/>
          <c:x val="0.46304893360560501"/>
          <c:y val="4.57578508942597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80599135327253"/>
                  <c:y val="-0.208211475405367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'Protein Concentration Healthy'!$A$12:$A$19</c:f>
              <c:numCache>
                <c:formatCode>General</c:formatCode>
                <c:ptCount val="8"/>
                <c:pt idx="0">
                  <c:v>1000</c:v>
                </c:pt>
                <c:pt idx="1">
                  <c:v>500</c:v>
                </c:pt>
                <c:pt idx="2">
                  <c:v>250</c:v>
                </c:pt>
                <c:pt idx="3">
                  <c:v>125</c:v>
                </c:pt>
                <c:pt idx="4">
                  <c:v>62.5</c:v>
                </c:pt>
                <c:pt idx="5">
                  <c:v>31.75</c:v>
                </c:pt>
                <c:pt idx="6">
                  <c:v>15</c:v>
                </c:pt>
                <c:pt idx="7">
                  <c:v>0</c:v>
                </c:pt>
              </c:numCache>
            </c:numRef>
          </c:xVal>
          <c:yVal>
            <c:numRef>
              <c:f>'Protein Concentration Healthy'!$B$12:$B$19</c:f>
              <c:numCache>
                <c:formatCode>General</c:formatCode>
                <c:ptCount val="8"/>
                <c:pt idx="0">
                  <c:v>0.96699999999999997</c:v>
                </c:pt>
                <c:pt idx="1">
                  <c:v>0.59250000000000003</c:v>
                </c:pt>
                <c:pt idx="2">
                  <c:v>0.39349999999999996</c:v>
                </c:pt>
                <c:pt idx="3">
                  <c:v>0.29599999999999999</c:v>
                </c:pt>
                <c:pt idx="4">
                  <c:v>0.26450000000000001</c:v>
                </c:pt>
                <c:pt idx="5">
                  <c:v>0.19650000000000001</c:v>
                </c:pt>
                <c:pt idx="6">
                  <c:v>0.17399999999999999</c:v>
                </c:pt>
                <c:pt idx="7">
                  <c:v>0.1535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E6-46FF-AED0-67880A7E7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0680512"/>
        <c:axId val="1700682304"/>
      </c:scatterChart>
      <c:valAx>
        <c:axId val="170068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682304"/>
        <c:crosses val="autoZero"/>
        <c:crossBetween val="midCat"/>
      </c:valAx>
      <c:valAx>
        <c:axId val="170068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680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GB"/>
              <a:t>Plate3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564687421189788"/>
                  <c:y val="-0.191748716384284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'Protein Concentration Healthy'!$A$21:$A$28</c:f>
              <c:numCache>
                <c:formatCode>General</c:formatCode>
                <c:ptCount val="8"/>
                <c:pt idx="0">
                  <c:v>1000</c:v>
                </c:pt>
                <c:pt idx="1">
                  <c:v>500</c:v>
                </c:pt>
                <c:pt idx="2">
                  <c:v>250</c:v>
                </c:pt>
                <c:pt idx="3">
                  <c:v>125</c:v>
                </c:pt>
                <c:pt idx="4">
                  <c:v>62.5</c:v>
                </c:pt>
                <c:pt idx="5">
                  <c:v>31.75</c:v>
                </c:pt>
                <c:pt idx="6">
                  <c:v>15</c:v>
                </c:pt>
                <c:pt idx="7">
                  <c:v>0</c:v>
                </c:pt>
              </c:numCache>
            </c:numRef>
          </c:xVal>
          <c:yVal>
            <c:numRef>
              <c:f>'Protein Concentration Healthy'!$B$21:$B$28</c:f>
              <c:numCache>
                <c:formatCode>General</c:formatCode>
                <c:ptCount val="8"/>
                <c:pt idx="0">
                  <c:v>0.91149999999999998</c:v>
                </c:pt>
                <c:pt idx="1">
                  <c:v>0.63050000000000006</c:v>
                </c:pt>
                <c:pt idx="2">
                  <c:v>0.42400000000000004</c:v>
                </c:pt>
                <c:pt idx="3">
                  <c:v>0.30299999999999999</c:v>
                </c:pt>
                <c:pt idx="4">
                  <c:v>0.22750000000000001</c:v>
                </c:pt>
                <c:pt idx="5">
                  <c:v>0.20600000000000002</c:v>
                </c:pt>
                <c:pt idx="6">
                  <c:v>0.17599999999999999</c:v>
                </c:pt>
                <c:pt idx="7">
                  <c:v>0.16400000000000001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10-4B3A-A0CB-40DE994B6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991040"/>
        <c:axId val="502992832"/>
      </c:scatterChart>
      <c:valAx>
        <c:axId val="50299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992832"/>
        <c:crosses val="autoZero"/>
        <c:crossBetween val="midCat"/>
      </c:valAx>
      <c:valAx>
        <c:axId val="50299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991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1</xdr:row>
      <xdr:rowOff>135467</xdr:rowOff>
    </xdr:from>
    <xdr:to>
      <xdr:col>11</xdr:col>
      <xdr:colOff>84667</xdr:colOff>
      <xdr:row>12</xdr:row>
      <xdr:rowOff>122767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B600FF-4CEF-5ADE-9B80-4B182DDE6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148167</xdr:colOff>
      <xdr:row>13</xdr:row>
      <xdr:rowOff>110067</xdr:rowOff>
    </xdr:from>
    <xdr:to>
      <xdr:col>11</xdr:col>
      <xdr:colOff>76201</xdr:colOff>
      <xdr:row>25</xdr:row>
      <xdr:rowOff>25401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4767E5-BBB3-FD66-10EB-9E69880A456D}"/>
            </a:ext>
            <a:ext uri="{147F2762-F138-4A5C-976F-8EAC2B608ADB}">
              <a16:predDERef xmlns:a16="http://schemas.microsoft.com/office/drawing/2014/main" pred="{70B600FF-4CEF-5ADE-9B80-4B182DDE6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165100</xdr:colOff>
      <xdr:row>25</xdr:row>
      <xdr:rowOff>131234</xdr:rowOff>
    </xdr:from>
    <xdr:to>
      <xdr:col>11</xdr:col>
      <xdr:colOff>76200</xdr:colOff>
      <xdr:row>37</xdr:row>
      <xdr:rowOff>169333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D6CBDC-8162-EACC-FCCD-216533848AB1}"/>
            </a:ext>
            <a:ext uri="{147F2762-F138-4A5C-976F-8EAC2B608ADB}">
              <a16:predDERef xmlns:a16="http://schemas.microsoft.com/office/drawing/2014/main" pred="{9F4767E5-BBB3-FD66-10EB-9E69880A45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1</xdr:row>
      <xdr:rowOff>135467</xdr:rowOff>
    </xdr:from>
    <xdr:to>
      <xdr:col>11</xdr:col>
      <xdr:colOff>84667</xdr:colOff>
      <xdr:row>12</xdr:row>
      <xdr:rowOff>122767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3535C5-0AA5-4163-9053-DC4090FE27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148167</xdr:colOff>
      <xdr:row>13</xdr:row>
      <xdr:rowOff>110067</xdr:rowOff>
    </xdr:from>
    <xdr:to>
      <xdr:col>11</xdr:col>
      <xdr:colOff>76201</xdr:colOff>
      <xdr:row>25</xdr:row>
      <xdr:rowOff>25401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648F66-C419-4CB7-BD00-35AA8F27524C}"/>
            </a:ext>
            <a:ext uri="{147F2762-F138-4A5C-976F-8EAC2B608ADB}">
              <a16:predDERef xmlns:a16="http://schemas.microsoft.com/office/drawing/2014/main" pred="{70B600FF-4CEF-5ADE-9B80-4B182DDE6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165100</xdr:colOff>
      <xdr:row>25</xdr:row>
      <xdr:rowOff>131234</xdr:rowOff>
    </xdr:from>
    <xdr:to>
      <xdr:col>11</xdr:col>
      <xdr:colOff>76200</xdr:colOff>
      <xdr:row>37</xdr:row>
      <xdr:rowOff>169333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DCDD80-04E4-44B6-BF29-878D34EBAA23}"/>
            </a:ext>
            <a:ext uri="{147F2762-F138-4A5C-976F-8EAC2B608ADB}">
              <a16:predDERef xmlns:a16="http://schemas.microsoft.com/office/drawing/2014/main" pred="{9F4767E5-BBB3-FD66-10EB-9E69880A45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E3A86-E4B1-4775-8E86-441696CBB963}">
  <dimension ref="A1:BJ1841"/>
  <sheetViews>
    <sheetView workbookViewId="0">
      <selection activeCell="J51" sqref="J51"/>
    </sheetView>
  </sheetViews>
  <sheetFormatPr defaultRowHeight="15" x14ac:dyDescent="0.25"/>
  <cols>
    <col min="1" max="1" width="12.7109375" style="67" customWidth="1"/>
    <col min="2" max="14" width="9.140625" style="67"/>
    <col min="17" max="17" width="12.7109375" style="22" customWidth="1"/>
    <col min="18" max="30" width="9.140625" style="22"/>
    <col min="33" max="33" width="12.7109375" style="41" customWidth="1"/>
    <col min="34" max="47" width="9.140625" style="41"/>
    <col min="49" max="49" width="12.140625" customWidth="1"/>
    <col min="56" max="56" width="11.140625" customWidth="1"/>
  </cols>
  <sheetData>
    <row r="1" spans="1:62" ht="15.75" thickBot="1" x14ac:dyDescent="0.3">
      <c r="A1" s="593" t="s">
        <v>28</v>
      </c>
      <c r="B1" s="594"/>
      <c r="C1" s="594"/>
      <c r="D1" s="594"/>
      <c r="E1" s="594"/>
      <c r="F1" s="594"/>
      <c r="G1" s="595"/>
      <c r="H1" s="596" t="s">
        <v>29</v>
      </c>
      <c r="I1" s="597"/>
      <c r="J1" s="597"/>
      <c r="K1" s="597"/>
      <c r="L1" s="597"/>
      <c r="M1" s="597"/>
      <c r="N1" s="598"/>
      <c r="Q1" s="547" t="s">
        <v>39</v>
      </c>
      <c r="R1" s="548"/>
      <c r="S1" s="548"/>
      <c r="T1" s="548"/>
      <c r="U1" s="548"/>
      <c r="V1" s="548"/>
      <c r="W1" s="549"/>
      <c r="X1" s="555" t="s">
        <v>29</v>
      </c>
      <c r="Y1" s="556"/>
      <c r="Z1" s="556"/>
      <c r="AA1" s="556"/>
      <c r="AB1" s="556"/>
      <c r="AC1" s="556"/>
      <c r="AD1" s="557"/>
      <c r="AG1" s="581" t="s">
        <v>41</v>
      </c>
      <c r="AH1" s="582"/>
      <c r="AI1" s="582"/>
      <c r="AJ1" s="582"/>
      <c r="AK1" s="582"/>
      <c r="AL1" s="582"/>
      <c r="AM1" s="583"/>
      <c r="AN1" s="584" t="s">
        <v>29</v>
      </c>
      <c r="AO1" s="585"/>
      <c r="AP1" s="585"/>
      <c r="AQ1" s="585"/>
      <c r="AR1" s="585"/>
      <c r="AS1" s="585"/>
      <c r="AT1" s="586"/>
      <c r="AU1"/>
      <c r="AW1" s="569" t="s">
        <v>120</v>
      </c>
      <c r="AX1" s="570"/>
      <c r="AY1" s="570"/>
      <c r="AZ1" s="570"/>
      <c r="BA1" s="570"/>
      <c r="BB1" s="570"/>
      <c r="BC1" s="571"/>
      <c r="BD1" s="572" t="s">
        <v>29</v>
      </c>
      <c r="BE1" s="573"/>
      <c r="BF1" s="573"/>
      <c r="BG1" s="573"/>
      <c r="BH1" s="573"/>
      <c r="BI1" s="573"/>
      <c r="BJ1" s="574"/>
    </row>
    <row r="2" spans="1:62" ht="15.75" thickBot="1" x14ac:dyDescent="0.3">
      <c r="A2" s="599" t="s">
        <v>30</v>
      </c>
      <c r="B2" s="597" t="s">
        <v>31</v>
      </c>
      <c r="C2" s="597"/>
      <c r="D2" s="602"/>
      <c r="E2" s="602"/>
      <c r="F2" s="602"/>
      <c r="G2" s="603"/>
      <c r="H2" s="599" t="s">
        <v>48</v>
      </c>
      <c r="I2" s="604" t="s">
        <v>31</v>
      </c>
      <c r="J2" s="605"/>
      <c r="K2" s="605"/>
      <c r="L2" s="605"/>
      <c r="M2" s="605"/>
      <c r="N2" s="606"/>
      <c r="Q2" s="550" t="s">
        <v>30</v>
      </c>
      <c r="R2" s="556" t="s">
        <v>31</v>
      </c>
      <c r="S2" s="556"/>
      <c r="T2" s="559"/>
      <c r="U2" s="559"/>
      <c r="V2" s="559"/>
      <c r="W2" s="560"/>
      <c r="X2" s="550" t="s">
        <v>48</v>
      </c>
      <c r="Y2" s="552" t="s">
        <v>31</v>
      </c>
      <c r="Z2" s="553"/>
      <c r="AA2" s="553"/>
      <c r="AB2" s="553"/>
      <c r="AC2" s="553"/>
      <c r="AD2" s="554"/>
      <c r="AG2" s="587" t="s">
        <v>30</v>
      </c>
      <c r="AH2" s="584" t="s">
        <v>31</v>
      </c>
      <c r="AI2" s="585"/>
      <c r="AJ2" s="585"/>
      <c r="AK2" s="585"/>
      <c r="AL2" s="585"/>
      <c r="AM2" s="586"/>
      <c r="AN2" s="588" t="s">
        <v>48</v>
      </c>
      <c r="AO2" s="590" t="s">
        <v>31</v>
      </c>
      <c r="AP2" s="591"/>
      <c r="AQ2" s="591"/>
      <c r="AR2" s="591"/>
      <c r="AS2" s="591"/>
      <c r="AT2" s="592"/>
      <c r="AU2"/>
      <c r="AW2" s="575" t="s">
        <v>30</v>
      </c>
      <c r="AX2" s="572" t="s">
        <v>31</v>
      </c>
      <c r="AY2" s="573"/>
      <c r="AZ2" s="573"/>
      <c r="BA2" s="573"/>
      <c r="BB2" s="573"/>
      <c r="BC2" s="574"/>
      <c r="BD2" s="576" t="s">
        <v>48</v>
      </c>
      <c r="BE2" s="578" t="s">
        <v>31</v>
      </c>
      <c r="BF2" s="579"/>
      <c r="BG2" s="579"/>
      <c r="BH2" s="579"/>
      <c r="BI2" s="579"/>
      <c r="BJ2" s="580"/>
    </row>
    <row r="3" spans="1:62" ht="15.75" thickBot="1" x14ac:dyDescent="0.3">
      <c r="A3" s="601"/>
      <c r="B3" s="70" t="s">
        <v>32</v>
      </c>
      <c r="C3" s="71" t="s">
        <v>33</v>
      </c>
      <c r="D3" s="72" t="s">
        <v>34</v>
      </c>
      <c r="E3" s="69" t="s">
        <v>35</v>
      </c>
      <c r="F3" s="72" t="s">
        <v>36</v>
      </c>
      <c r="G3" s="72" t="s">
        <v>37</v>
      </c>
      <c r="H3" s="600"/>
      <c r="I3" s="68" t="s">
        <v>32</v>
      </c>
      <c r="J3" s="72" t="s">
        <v>33</v>
      </c>
      <c r="K3" s="69" t="s">
        <v>34</v>
      </c>
      <c r="L3" s="72" t="s">
        <v>35</v>
      </c>
      <c r="M3" s="69" t="s">
        <v>36</v>
      </c>
      <c r="N3" s="72" t="s">
        <v>37</v>
      </c>
      <c r="Q3" s="558"/>
      <c r="R3" s="25" t="s">
        <v>32</v>
      </c>
      <c r="S3" s="26" t="s">
        <v>33</v>
      </c>
      <c r="T3" s="27" t="s">
        <v>34</v>
      </c>
      <c r="U3" s="24" t="s">
        <v>35</v>
      </c>
      <c r="V3" s="27" t="s">
        <v>36</v>
      </c>
      <c r="W3" s="27" t="s">
        <v>37</v>
      </c>
      <c r="X3" s="551"/>
      <c r="Y3" s="23" t="s">
        <v>32</v>
      </c>
      <c r="Z3" s="27" t="s">
        <v>33</v>
      </c>
      <c r="AA3" s="24" t="s">
        <v>34</v>
      </c>
      <c r="AB3" s="27" t="s">
        <v>35</v>
      </c>
      <c r="AC3" s="24" t="s">
        <v>36</v>
      </c>
      <c r="AD3" s="27" t="s">
        <v>37</v>
      </c>
      <c r="AG3" s="587"/>
      <c r="AH3" s="44" t="s">
        <v>32</v>
      </c>
      <c r="AI3" s="46" t="s">
        <v>33</v>
      </c>
      <c r="AJ3" s="47" t="s">
        <v>34</v>
      </c>
      <c r="AK3" s="48" t="s">
        <v>35</v>
      </c>
      <c r="AL3" s="47" t="s">
        <v>36</v>
      </c>
      <c r="AM3" s="47" t="s">
        <v>37</v>
      </c>
      <c r="AN3" s="589"/>
      <c r="AO3" s="42" t="s">
        <v>32</v>
      </c>
      <c r="AP3" s="49" t="s">
        <v>33</v>
      </c>
      <c r="AQ3" s="43" t="s">
        <v>34</v>
      </c>
      <c r="AR3" s="49" t="s">
        <v>35</v>
      </c>
      <c r="AS3" s="43" t="s">
        <v>36</v>
      </c>
      <c r="AT3" s="49" t="s">
        <v>37</v>
      </c>
      <c r="AU3"/>
      <c r="AW3" s="575"/>
      <c r="AX3" s="409" t="s">
        <v>32</v>
      </c>
      <c r="AY3" s="411" t="s">
        <v>33</v>
      </c>
      <c r="AZ3" s="412" t="s">
        <v>34</v>
      </c>
      <c r="BA3" s="413" t="s">
        <v>35</v>
      </c>
      <c r="BB3" s="412" t="s">
        <v>36</v>
      </c>
      <c r="BC3" s="412" t="s">
        <v>37</v>
      </c>
      <c r="BD3" s="577"/>
      <c r="BE3" s="407" t="s">
        <v>32</v>
      </c>
      <c r="BF3" s="414" t="s">
        <v>33</v>
      </c>
      <c r="BG3" s="408" t="s">
        <v>34</v>
      </c>
      <c r="BH3" s="414" t="s">
        <v>35</v>
      </c>
      <c r="BI3" s="408" t="s">
        <v>36</v>
      </c>
      <c r="BJ3" s="414" t="s">
        <v>37</v>
      </c>
    </row>
    <row r="4" spans="1:62" x14ac:dyDescent="0.25">
      <c r="A4" s="73">
        <v>0</v>
      </c>
      <c r="B4" s="74">
        <v>12522</v>
      </c>
      <c r="C4" s="75">
        <v>10958</v>
      </c>
      <c r="D4" s="76">
        <v>1261</v>
      </c>
      <c r="E4" s="77">
        <v>829</v>
      </c>
      <c r="F4" s="76">
        <v>962</v>
      </c>
      <c r="G4" s="76">
        <v>206</v>
      </c>
      <c r="H4" s="78" t="s">
        <v>46</v>
      </c>
      <c r="I4" s="77">
        <v>14018</v>
      </c>
      <c r="J4" s="76">
        <v>12621</v>
      </c>
      <c r="K4" s="77">
        <v>16</v>
      </c>
      <c r="L4" s="76">
        <v>0</v>
      </c>
      <c r="M4" s="77">
        <v>0</v>
      </c>
      <c r="N4" s="76">
        <v>228</v>
      </c>
      <c r="Q4" s="28">
        <v>0</v>
      </c>
      <c r="R4" s="29">
        <v>12183</v>
      </c>
      <c r="S4" s="30">
        <v>10085</v>
      </c>
      <c r="T4" s="31">
        <v>2032</v>
      </c>
      <c r="U4" s="32">
        <v>1208</v>
      </c>
      <c r="V4" s="31">
        <v>670</v>
      </c>
      <c r="W4" s="31">
        <v>1129</v>
      </c>
      <c r="X4" s="33" t="s">
        <v>46</v>
      </c>
      <c r="Y4" s="32">
        <v>12342</v>
      </c>
      <c r="Z4" s="31">
        <v>12319</v>
      </c>
      <c r="AA4" s="32">
        <v>18</v>
      </c>
      <c r="AB4" s="31">
        <v>0</v>
      </c>
      <c r="AC4" s="32">
        <v>1</v>
      </c>
      <c r="AD4" s="31">
        <v>29</v>
      </c>
      <c r="AG4" s="50">
        <v>0</v>
      </c>
      <c r="AH4" s="51">
        <v>10028</v>
      </c>
      <c r="AI4" s="52">
        <v>9787</v>
      </c>
      <c r="AJ4" s="53">
        <v>579</v>
      </c>
      <c r="AK4" s="54">
        <v>115</v>
      </c>
      <c r="AL4" s="53">
        <v>262</v>
      </c>
      <c r="AM4" s="53">
        <v>106</v>
      </c>
      <c r="AN4" s="66" t="s">
        <v>46</v>
      </c>
      <c r="AO4" s="54">
        <v>10042</v>
      </c>
      <c r="AP4" s="53">
        <v>10083</v>
      </c>
      <c r="AQ4" s="54">
        <v>194</v>
      </c>
      <c r="AR4" s="53">
        <v>0</v>
      </c>
      <c r="AS4" s="54">
        <v>5</v>
      </c>
      <c r="AT4" s="53">
        <v>167</v>
      </c>
      <c r="AU4"/>
      <c r="AW4" s="415">
        <v>0</v>
      </c>
      <c r="AX4" s="161">
        <v>7788</v>
      </c>
      <c r="AY4" s="406">
        <v>3157</v>
      </c>
      <c r="AZ4" s="416">
        <v>4569</v>
      </c>
      <c r="BA4" s="312">
        <v>907</v>
      </c>
      <c r="BB4" s="416">
        <v>1649</v>
      </c>
      <c r="BC4" s="416">
        <v>2662</v>
      </c>
      <c r="BD4" s="265" t="s">
        <v>46</v>
      </c>
      <c r="BE4" s="312">
        <v>8939</v>
      </c>
      <c r="BF4" s="416">
        <v>7406</v>
      </c>
      <c r="BG4" s="312">
        <v>1496</v>
      </c>
      <c r="BH4" s="416">
        <v>0</v>
      </c>
      <c r="BI4" s="312">
        <v>1</v>
      </c>
      <c r="BJ4" s="416">
        <v>1600</v>
      </c>
    </row>
    <row r="5" spans="1:62" x14ac:dyDescent="0.25">
      <c r="A5" s="79">
        <v>10</v>
      </c>
      <c r="B5" s="80">
        <v>12541</v>
      </c>
      <c r="C5" s="67">
        <v>11020</v>
      </c>
      <c r="D5" s="76">
        <v>1237</v>
      </c>
      <c r="E5" s="80">
        <v>1166</v>
      </c>
      <c r="F5" s="76">
        <v>953</v>
      </c>
      <c r="G5" s="76">
        <v>147</v>
      </c>
      <c r="H5" s="81" t="s">
        <v>47</v>
      </c>
      <c r="I5" s="82">
        <v>12647</v>
      </c>
      <c r="J5" s="81">
        <v>11253</v>
      </c>
      <c r="K5" s="82">
        <v>35</v>
      </c>
      <c r="L5" s="81">
        <v>3333</v>
      </c>
      <c r="M5" s="82">
        <v>2</v>
      </c>
      <c r="N5" s="81">
        <v>1</v>
      </c>
      <c r="Q5" s="34">
        <v>10</v>
      </c>
      <c r="R5" s="35">
        <v>11938</v>
      </c>
      <c r="S5" s="22">
        <v>10193</v>
      </c>
      <c r="T5" s="31">
        <v>1693</v>
      </c>
      <c r="U5" s="22">
        <v>1394</v>
      </c>
      <c r="V5" s="31">
        <v>709</v>
      </c>
      <c r="W5" s="31">
        <v>631</v>
      </c>
      <c r="X5" s="36" t="s">
        <v>47</v>
      </c>
      <c r="Y5" s="37">
        <v>12108</v>
      </c>
      <c r="Z5" s="36">
        <v>11721</v>
      </c>
      <c r="AA5" s="37">
        <v>16</v>
      </c>
      <c r="AB5" s="36">
        <v>1972</v>
      </c>
      <c r="AC5" s="37">
        <v>3</v>
      </c>
      <c r="AD5" s="36">
        <v>6</v>
      </c>
      <c r="AG5" s="56">
        <v>10</v>
      </c>
      <c r="AH5" s="57">
        <v>10033</v>
      </c>
      <c r="AI5" s="41">
        <v>9787</v>
      </c>
      <c r="AJ5" s="53">
        <v>537</v>
      </c>
      <c r="AK5" s="57">
        <v>204</v>
      </c>
      <c r="AL5" s="53">
        <v>277</v>
      </c>
      <c r="AM5" s="53">
        <v>63</v>
      </c>
      <c r="AN5" s="60" t="s">
        <v>47</v>
      </c>
      <c r="AO5" s="59">
        <v>9998</v>
      </c>
      <c r="AP5" s="60">
        <v>10137</v>
      </c>
      <c r="AQ5" s="59">
        <v>115</v>
      </c>
      <c r="AR5" s="60">
        <v>307</v>
      </c>
      <c r="AS5" s="59">
        <v>22</v>
      </c>
      <c r="AT5" s="60">
        <v>8</v>
      </c>
      <c r="AU5"/>
      <c r="AW5" s="417">
        <v>10</v>
      </c>
      <c r="AX5" s="418">
        <v>8931</v>
      </c>
      <c r="AY5" s="419">
        <v>7940</v>
      </c>
      <c r="AZ5" s="416">
        <v>964</v>
      </c>
      <c r="BA5" s="418">
        <v>1230</v>
      </c>
      <c r="BB5" s="416">
        <v>299</v>
      </c>
      <c r="BC5" s="416">
        <v>557</v>
      </c>
      <c r="BD5" s="162" t="s">
        <v>47</v>
      </c>
      <c r="BE5" s="286">
        <v>8517</v>
      </c>
      <c r="BF5" s="162">
        <v>5756</v>
      </c>
      <c r="BG5" s="286">
        <v>2644</v>
      </c>
      <c r="BH5" s="162">
        <v>1459</v>
      </c>
      <c r="BI5" s="286">
        <v>536</v>
      </c>
      <c r="BJ5" s="162">
        <v>338</v>
      </c>
    </row>
    <row r="6" spans="1:62" ht="15.75" thickBot="1" x14ac:dyDescent="0.3">
      <c r="A6" s="79">
        <v>20</v>
      </c>
      <c r="B6" s="81">
        <v>12619</v>
      </c>
      <c r="C6" s="82">
        <v>11214</v>
      </c>
      <c r="D6" s="81">
        <v>1140</v>
      </c>
      <c r="E6" s="82">
        <v>1153</v>
      </c>
      <c r="F6" s="81">
        <v>880</v>
      </c>
      <c r="G6" s="81">
        <v>147</v>
      </c>
      <c r="H6" s="83" t="s">
        <v>37</v>
      </c>
      <c r="I6" s="84">
        <v>13263</v>
      </c>
      <c r="J6" s="83">
        <v>11466</v>
      </c>
      <c r="K6" s="84">
        <v>1492</v>
      </c>
      <c r="L6" s="83">
        <v>0</v>
      </c>
      <c r="M6" s="84">
        <v>0</v>
      </c>
      <c r="N6" s="83">
        <v>1727</v>
      </c>
      <c r="Q6" s="34">
        <v>20</v>
      </c>
      <c r="R6" s="36">
        <v>12074</v>
      </c>
      <c r="S6" s="37">
        <v>10492</v>
      </c>
      <c r="T6" s="36">
        <v>1529</v>
      </c>
      <c r="U6" s="37">
        <v>1931</v>
      </c>
      <c r="V6" s="36">
        <v>912</v>
      </c>
      <c r="W6" s="36">
        <v>288</v>
      </c>
      <c r="X6" s="38" t="s">
        <v>37</v>
      </c>
      <c r="Y6" s="39">
        <v>15094</v>
      </c>
      <c r="Z6" s="38">
        <v>12678</v>
      </c>
      <c r="AA6" s="39">
        <v>2349</v>
      </c>
      <c r="AB6" s="38">
        <v>0</v>
      </c>
      <c r="AC6" s="39">
        <v>0</v>
      </c>
      <c r="AD6" s="38">
        <v>3185</v>
      </c>
      <c r="AG6" s="56">
        <v>20</v>
      </c>
      <c r="AH6" s="60">
        <v>9941</v>
      </c>
      <c r="AI6" s="59">
        <v>9487</v>
      </c>
      <c r="AJ6" s="60">
        <v>835</v>
      </c>
      <c r="AK6" s="59">
        <v>206</v>
      </c>
      <c r="AL6" s="60">
        <v>431</v>
      </c>
      <c r="AM6" s="60">
        <v>131</v>
      </c>
      <c r="AN6" s="63" t="s">
        <v>37</v>
      </c>
      <c r="AO6" s="62">
        <v>10033</v>
      </c>
      <c r="AP6" s="63">
        <v>9873</v>
      </c>
      <c r="AQ6" s="62">
        <v>412</v>
      </c>
      <c r="AR6" s="63">
        <v>3</v>
      </c>
      <c r="AS6" s="62">
        <v>1</v>
      </c>
      <c r="AT6" s="63">
        <v>368</v>
      </c>
      <c r="AU6"/>
      <c r="AW6" s="417">
        <v>20</v>
      </c>
      <c r="AX6" s="162">
        <v>7817</v>
      </c>
      <c r="AY6" s="286">
        <v>4417</v>
      </c>
      <c r="AZ6" s="162">
        <v>3348</v>
      </c>
      <c r="BA6" s="286">
        <v>1189</v>
      </c>
      <c r="BB6" s="162">
        <v>972</v>
      </c>
      <c r="BC6" s="162">
        <v>1975</v>
      </c>
      <c r="BD6" s="163" t="s">
        <v>37</v>
      </c>
      <c r="BE6" s="319">
        <v>7047</v>
      </c>
      <c r="BF6" s="163">
        <v>1910</v>
      </c>
      <c r="BG6" s="319">
        <v>5104</v>
      </c>
      <c r="BH6" s="163">
        <v>0</v>
      </c>
      <c r="BI6" s="319">
        <v>0</v>
      </c>
      <c r="BJ6" s="163">
        <v>4661</v>
      </c>
    </row>
    <row r="7" spans="1:62" x14ac:dyDescent="0.25">
      <c r="A7" s="79">
        <v>40</v>
      </c>
      <c r="B7" s="81">
        <v>12207</v>
      </c>
      <c r="C7" s="82">
        <v>10524</v>
      </c>
      <c r="D7" s="81">
        <v>1395</v>
      </c>
      <c r="E7" s="82">
        <v>957</v>
      </c>
      <c r="F7" s="81">
        <v>1162</v>
      </c>
      <c r="G7" s="81">
        <v>136</v>
      </c>
      <c r="H7"/>
      <c r="I7"/>
      <c r="J7"/>
      <c r="K7"/>
      <c r="L7"/>
      <c r="M7"/>
      <c r="N7"/>
      <c r="Q7" s="34">
        <v>40</v>
      </c>
      <c r="R7" s="36">
        <v>11894</v>
      </c>
      <c r="S7" s="37">
        <v>10253</v>
      </c>
      <c r="T7" s="36">
        <v>1585</v>
      </c>
      <c r="U7" s="37">
        <v>2063</v>
      </c>
      <c r="V7" s="36">
        <v>959</v>
      </c>
      <c r="W7" s="36">
        <v>287</v>
      </c>
      <c r="X7"/>
      <c r="Y7"/>
      <c r="Z7"/>
      <c r="AA7"/>
      <c r="AB7"/>
      <c r="AC7"/>
      <c r="AD7"/>
      <c r="AG7" s="56">
        <v>40</v>
      </c>
      <c r="AH7" s="60">
        <v>10023</v>
      </c>
      <c r="AI7" s="59">
        <v>9728</v>
      </c>
      <c r="AJ7" s="60">
        <v>512</v>
      </c>
      <c r="AK7" s="59">
        <v>209</v>
      </c>
      <c r="AL7" s="60">
        <v>315</v>
      </c>
      <c r="AM7" s="60">
        <v>75</v>
      </c>
      <c r="AN7" s="55" t="s">
        <v>42</v>
      </c>
      <c r="AO7" s="54">
        <v>8868</v>
      </c>
      <c r="AP7" s="53">
        <v>8911</v>
      </c>
      <c r="AQ7" s="54">
        <v>2744</v>
      </c>
      <c r="AR7" s="53">
        <v>742</v>
      </c>
      <c r="AS7" s="54">
        <v>538</v>
      </c>
      <c r="AT7" s="53">
        <v>320</v>
      </c>
      <c r="AU7"/>
      <c r="AW7" s="417">
        <v>40</v>
      </c>
      <c r="AX7" s="162">
        <v>7925</v>
      </c>
      <c r="AY7" s="286">
        <v>4725</v>
      </c>
      <c r="AZ7" s="162">
        <v>3150</v>
      </c>
      <c r="BA7" s="286">
        <v>1068</v>
      </c>
      <c r="BB7" s="162">
        <v>993</v>
      </c>
      <c r="BC7" s="162">
        <v>1600</v>
      </c>
      <c r="BD7" s="420" t="s">
        <v>42</v>
      </c>
      <c r="BE7" s="312">
        <v>7282</v>
      </c>
      <c r="BF7" s="416">
        <v>546</v>
      </c>
      <c r="BG7" s="312">
        <v>6626</v>
      </c>
      <c r="BH7" s="416">
        <v>1136</v>
      </c>
      <c r="BI7" s="312">
        <v>1527</v>
      </c>
      <c r="BJ7" s="416">
        <v>1965</v>
      </c>
    </row>
    <row r="8" spans="1:62" x14ac:dyDescent="0.25">
      <c r="A8" s="79">
        <v>100</v>
      </c>
      <c r="B8" s="81">
        <v>12611</v>
      </c>
      <c r="C8" s="82">
        <v>10791</v>
      </c>
      <c r="D8" s="81">
        <v>1546</v>
      </c>
      <c r="E8" s="82">
        <v>666</v>
      </c>
      <c r="F8" s="81">
        <v>1246</v>
      </c>
      <c r="G8" s="81">
        <v>214</v>
      </c>
      <c r="H8"/>
      <c r="I8"/>
      <c r="J8"/>
      <c r="K8"/>
      <c r="L8"/>
      <c r="M8"/>
      <c r="N8"/>
      <c r="Q8" s="34">
        <v>100</v>
      </c>
      <c r="R8" s="36">
        <v>11900</v>
      </c>
      <c r="S8" s="37">
        <v>10205</v>
      </c>
      <c r="T8" s="36">
        <v>1636</v>
      </c>
      <c r="U8" s="37">
        <v>1636</v>
      </c>
      <c r="V8" s="36">
        <v>641</v>
      </c>
      <c r="W8" s="36">
        <v>702</v>
      </c>
      <c r="X8"/>
      <c r="Y8"/>
      <c r="Z8"/>
      <c r="AA8"/>
      <c r="AB8"/>
      <c r="AC8"/>
      <c r="AD8"/>
      <c r="AG8" s="56">
        <v>100</v>
      </c>
      <c r="AH8" s="60">
        <v>9991</v>
      </c>
      <c r="AI8" s="59">
        <v>9572</v>
      </c>
      <c r="AJ8" s="60">
        <v>683</v>
      </c>
      <c r="AK8" s="59">
        <v>184</v>
      </c>
      <c r="AL8" s="60">
        <v>403</v>
      </c>
      <c r="AM8" s="60">
        <v>77</v>
      </c>
      <c r="AN8" s="58" t="s">
        <v>43</v>
      </c>
      <c r="AO8" s="59">
        <v>8284</v>
      </c>
      <c r="AP8" s="60">
        <v>7149</v>
      </c>
      <c r="AQ8" s="59">
        <v>5375</v>
      </c>
      <c r="AR8" s="60">
        <v>903</v>
      </c>
      <c r="AS8" s="59">
        <v>1063</v>
      </c>
      <c r="AT8" s="60">
        <v>861</v>
      </c>
      <c r="AU8"/>
      <c r="AW8" s="417">
        <v>100</v>
      </c>
      <c r="AX8" s="162">
        <v>7247</v>
      </c>
      <c r="AY8" s="286">
        <v>3456</v>
      </c>
      <c r="AZ8" s="162">
        <v>3729</v>
      </c>
      <c r="BA8" s="286">
        <v>596</v>
      </c>
      <c r="BB8" s="162">
        <v>853</v>
      </c>
      <c r="BC8" s="162">
        <v>2519</v>
      </c>
      <c r="BD8" s="421" t="s">
        <v>43</v>
      </c>
      <c r="BE8" s="286">
        <v>6929</v>
      </c>
      <c r="BF8" s="162">
        <v>378</v>
      </c>
      <c r="BG8" s="286">
        <v>6464</v>
      </c>
      <c r="BH8" s="162">
        <v>849</v>
      </c>
      <c r="BI8" s="286">
        <v>1217</v>
      </c>
      <c r="BJ8" s="162">
        <v>2310</v>
      </c>
    </row>
    <row r="9" spans="1:62" ht="15.75" thickBot="1" x14ac:dyDescent="0.3">
      <c r="A9" s="79">
        <v>120</v>
      </c>
      <c r="B9" s="81">
        <v>12733</v>
      </c>
      <c r="C9" s="82">
        <v>10994</v>
      </c>
      <c r="D9" s="81">
        <v>1442</v>
      </c>
      <c r="E9" s="82">
        <v>947</v>
      </c>
      <c r="F9" s="81">
        <v>1091</v>
      </c>
      <c r="G9" s="81">
        <v>247</v>
      </c>
      <c r="H9"/>
      <c r="I9"/>
      <c r="J9"/>
      <c r="K9"/>
      <c r="L9"/>
      <c r="M9"/>
      <c r="N9"/>
      <c r="Q9" s="34">
        <v>120</v>
      </c>
      <c r="R9" s="36">
        <v>11897</v>
      </c>
      <c r="S9" s="37">
        <v>9912</v>
      </c>
      <c r="T9" s="36">
        <v>1927</v>
      </c>
      <c r="U9" s="37">
        <v>1544</v>
      </c>
      <c r="V9" s="36">
        <v>810</v>
      </c>
      <c r="W9" s="36">
        <v>689</v>
      </c>
      <c r="X9"/>
      <c r="Y9"/>
      <c r="Z9"/>
      <c r="AA9"/>
      <c r="AB9"/>
      <c r="AC9"/>
      <c r="AD9"/>
      <c r="AG9" s="56">
        <v>120</v>
      </c>
      <c r="AH9" s="60">
        <v>9997</v>
      </c>
      <c r="AI9" s="59">
        <v>9657</v>
      </c>
      <c r="AJ9" s="60">
        <v>597</v>
      </c>
      <c r="AK9" s="59">
        <v>257</v>
      </c>
      <c r="AL9" s="60">
        <v>350</v>
      </c>
      <c r="AM9" s="60">
        <v>73</v>
      </c>
      <c r="AN9" s="61" t="s">
        <v>44</v>
      </c>
      <c r="AO9" s="62">
        <v>8575</v>
      </c>
      <c r="AP9" s="63">
        <v>7487</v>
      </c>
      <c r="AQ9" s="62">
        <v>4813</v>
      </c>
      <c r="AR9" s="63">
        <v>939</v>
      </c>
      <c r="AS9" s="62">
        <v>1222</v>
      </c>
      <c r="AT9" s="63">
        <v>710</v>
      </c>
      <c r="AU9"/>
      <c r="AW9" s="417">
        <v>120</v>
      </c>
      <c r="AX9" s="162">
        <v>7634</v>
      </c>
      <c r="AY9" s="286">
        <v>5016</v>
      </c>
      <c r="AZ9" s="162">
        <v>2571</v>
      </c>
      <c r="BA9" s="286">
        <v>684</v>
      </c>
      <c r="BB9" s="162">
        <v>634</v>
      </c>
      <c r="BC9" s="162">
        <v>1551</v>
      </c>
      <c r="BD9" s="422" t="s">
        <v>44</v>
      </c>
      <c r="BE9" s="319">
        <v>6751</v>
      </c>
      <c r="BF9" s="163">
        <v>231</v>
      </c>
      <c r="BG9" s="319">
        <v>6430</v>
      </c>
      <c r="BH9" s="163">
        <v>1206</v>
      </c>
      <c r="BI9" s="319">
        <v>2015</v>
      </c>
      <c r="BJ9" s="163">
        <v>1797</v>
      </c>
    </row>
    <row r="10" spans="1:62" ht="15.75" thickBot="1" x14ac:dyDescent="0.3">
      <c r="A10" s="85">
        <v>400</v>
      </c>
      <c r="B10" s="83">
        <v>12181</v>
      </c>
      <c r="C10" s="84">
        <v>10455</v>
      </c>
      <c r="D10" s="83">
        <v>1695</v>
      </c>
      <c r="E10" s="84">
        <v>1</v>
      </c>
      <c r="F10" s="83">
        <v>14</v>
      </c>
      <c r="G10" s="83">
        <v>1521</v>
      </c>
      <c r="H10"/>
      <c r="I10"/>
      <c r="J10"/>
      <c r="K10"/>
      <c r="L10"/>
      <c r="M10"/>
      <c r="N10"/>
      <c r="Q10" s="40">
        <v>400</v>
      </c>
      <c r="R10" s="38">
        <v>11913</v>
      </c>
      <c r="S10" s="39">
        <v>11629</v>
      </c>
      <c r="T10" s="38">
        <v>252</v>
      </c>
      <c r="U10" s="39">
        <v>1957</v>
      </c>
      <c r="V10" s="38">
        <v>63</v>
      </c>
      <c r="W10" s="38">
        <v>19</v>
      </c>
      <c r="X10"/>
      <c r="Y10"/>
      <c r="Z10"/>
      <c r="AA10"/>
      <c r="AB10"/>
      <c r="AC10"/>
      <c r="AD10"/>
      <c r="AG10" s="64">
        <v>400</v>
      </c>
      <c r="AH10" s="63">
        <v>9960</v>
      </c>
      <c r="AI10" s="62">
        <v>9565</v>
      </c>
      <c r="AJ10" s="63">
        <v>688</v>
      </c>
      <c r="AK10" s="62">
        <v>222</v>
      </c>
      <c r="AL10" s="63">
        <v>365</v>
      </c>
      <c r="AM10" s="63">
        <v>79</v>
      </c>
      <c r="AN10" s="293"/>
      <c r="AO10"/>
      <c r="AP10"/>
      <c r="AQ10"/>
      <c r="AR10"/>
      <c r="AS10"/>
      <c r="AT10"/>
      <c r="AU10"/>
      <c r="AW10" s="423">
        <v>400</v>
      </c>
      <c r="AX10" s="163">
        <v>7016</v>
      </c>
      <c r="AY10" s="319">
        <v>2969</v>
      </c>
      <c r="AZ10" s="163">
        <v>3945</v>
      </c>
      <c r="BA10" s="319">
        <v>886</v>
      </c>
      <c r="BB10" s="163">
        <v>1184</v>
      </c>
      <c r="BC10" s="163">
        <v>2738</v>
      </c>
      <c r="BD10" s="293"/>
    </row>
    <row r="11" spans="1:62" ht="15.75" thickBo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</row>
    <row r="12" spans="1:62" ht="15.75" thickBot="1" x14ac:dyDescent="0.3">
      <c r="A12" s="593" t="s">
        <v>38</v>
      </c>
      <c r="B12" s="594"/>
      <c r="C12" s="594"/>
      <c r="D12" s="594"/>
      <c r="E12" s="594"/>
      <c r="F12" s="594"/>
      <c r="G12" s="595"/>
      <c r="H12" s="596" t="s">
        <v>29</v>
      </c>
      <c r="I12" s="597"/>
      <c r="J12" s="597"/>
      <c r="K12" s="597"/>
      <c r="L12" s="597"/>
      <c r="M12" s="597"/>
      <c r="N12" s="598"/>
      <c r="Q12" s="547" t="s">
        <v>40</v>
      </c>
      <c r="R12" s="548"/>
      <c r="S12" s="548"/>
      <c r="T12" s="548"/>
      <c r="U12" s="548"/>
      <c r="V12" s="548"/>
      <c r="W12" s="549"/>
      <c r="X12" s="555" t="s">
        <v>29</v>
      </c>
      <c r="Y12" s="556"/>
      <c r="Z12" s="556"/>
      <c r="AA12" s="556"/>
      <c r="AB12" s="556"/>
      <c r="AC12" s="556"/>
      <c r="AD12" s="557"/>
      <c r="AG12" s="581" t="s">
        <v>45</v>
      </c>
      <c r="AH12" s="582"/>
      <c r="AI12" s="582"/>
      <c r="AJ12" s="582"/>
      <c r="AK12" s="582"/>
      <c r="AL12" s="582"/>
      <c r="AM12" s="583"/>
      <c r="AN12" s="584" t="s">
        <v>29</v>
      </c>
      <c r="AO12" s="585"/>
      <c r="AP12" s="585"/>
      <c r="AQ12" s="585"/>
      <c r="AR12" s="585"/>
      <c r="AS12" s="585"/>
      <c r="AT12" s="586"/>
      <c r="AU12"/>
      <c r="AW12" s="569" t="s">
        <v>121</v>
      </c>
      <c r="AX12" s="570"/>
      <c r="AY12" s="570"/>
      <c r="AZ12" s="570"/>
      <c r="BA12" s="570"/>
      <c r="BB12" s="570"/>
      <c r="BC12" s="571"/>
      <c r="BD12" s="572" t="s">
        <v>29</v>
      </c>
      <c r="BE12" s="573"/>
      <c r="BF12" s="573"/>
      <c r="BG12" s="573"/>
      <c r="BH12" s="573"/>
      <c r="BI12" s="573"/>
      <c r="BJ12" s="574"/>
    </row>
    <row r="13" spans="1:62" ht="15.75" thickBot="1" x14ac:dyDescent="0.3">
      <c r="A13" s="599" t="s">
        <v>30</v>
      </c>
      <c r="B13" s="597" t="s">
        <v>31</v>
      </c>
      <c r="C13" s="597"/>
      <c r="D13" s="602"/>
      <c r="E13" s="602"/>
      <c r="F13" s="602"/>
      <c r="G13" s="603"/>
      <c r="H13" s="599" t="s">
        <v>48</v>
      </c>
      <c r="I13" s="604" t="s">
        <v>31</v>
      </c>
      <c r="J13" s="605"/>
      <c r="K13" s="605"/>
      <c r="L13" s="605"/>
      <c r="M13" s="605"/>
      <c r="N13" s="606"/>
      <c r="Q13" s="550" t="s">
        <v>30</v>
      </c>
      <c r="R13" s="556" t="s">
        <v>31</v>
      </c>
      <c r="S13" s="556"/>
      <c r="T13" s="559"/>
      <c r="U13" s="559"/>
      <c r="V13" s="559"/>
      <c r="W13" s="560"/>
      <c r="X13" s="550" t="s">
        <v>48</v>
      </c>
      <c r="Y13" s="552" t="s">
        <v>31</v>
      </c>
      <c r="Z13" s="553"/>
      <c r="AA13" s="553"/>
      <c r="AB13" s="553"/>
      <c r="AC13" s="553"/>
      <c r="AD13" s="554"/>
      <c r="AG13" s="587" t="s">
        <v>30</v>
      </c>
      <c r="AH13" s="584" t="s">
        <v>31</v>
      </c>
      <c r="AI13" s="585"/>
      <c r="AJ13" s="585"/>
      <c r="AK13" s="585"/>
      <c r="AL13" s="585"/>
      <c r="AM13" s="586"/>
      <c r="AN13" s="588" t="s">
        <v>48</v>
      </c>
      <c r="AO13" s="590" t="s">
        <v>31</v>
      </c>
      <c r="AP13" s="591"/>
      <c r="AQ13" s="591"/>
      <c r="AR13" s="591"/>
      <c r="AS13" s="591"/>
      <c r="AT13" s="592"/>
      <c r="AU13"/>
      <c r="AW13" s="575" t="s">
        <v>30</v>
      </c>
      <c r="AX13" s="572" t="s">
        <v>31</v>
      </c>
      <c r="AY13" s="573"/>
      <c r="AZ13" s="573"/>
      <c r="BA13" s="573"/>
      <c r="BB13" s="573"/>
      <c r="BC13" s="574"/>
      <c r="BD13" s="576" t="s">
        <v>48</v>
      </c>
      <c r="BE13" s="578" t="s">
        <v>31</v>
      </c>
      <c r="BF13" s="579"/>
      <c r="BG13" s="579"/>
      <c r="BH13" s="579"/>
      <c r="BI13" s="579"/>
      <c r="BJ13" s="580"/>
    </row>
    <row r="14" spans="1:62" ht="15.75" thickBot="1" x14ac:dyDescent="0.3">
      <c r="A14" s="601"/>
      <c r="B14" s="70" t="s">
        <v>32</v>
      </c>
      <c r="C14" s="71" t="s">
        <v>33</v>
      </c>
      <c r="D14" s="72" t="s">
        <v>34</v>
      </c>
      <c r="E14" s="69" t="s">
        <v>35</v>
      </c>
      <c r="F14" s="72" t="s">
        <v>36</v>
      </c>
      <c r="G14" s="72" t="s">
        <v>37</v>
      </c>
      <c r="H14" s="600"/>
      <c r="I14" s="68" t="s">
        <v>32</v>
      </c>
      <c r="J14" s="72" t="s">
        <v>33</v>
      </c>
      <c r="K14" s="69" t="s">
        <v>34</v>
      </c>
      <c r="L14" s="72" t="s">
        <v>35</v>
      </c>
      <c r="M14" s="69" t="s">
        <v>36</v>
      </c>
      <c r="N14" s="72" t="s">
        <v>37</v>
      </c>
      <c r="Q14" s="558"/>
      <c r="R14" s="25" t="s">
        <v>32</v>
      </c>
      <c r="S14" s="26" t="s">
        <v>33</v>
      </c>
      <c r="T14" s="27" t="s">
        <v>34</v>
      </c>
      <c r="U14" s="24" t="s">
        <v>35</v>
      </c>
      <c r="V14" s="27" t="s">
        <v>36</v>
      </c>
      <c r="W14" s="27" t="s">
        <v>37</v>
      </c>
      <c r="X14" s="551"/>
      <c r="Y14" s="23" t="s">
        <v>32</v>
      </c>
      <c r="Z14" s="27" t="s">
        <v>33</v>
      </c>
      <c r="AA14" s="24" t="s">
        <v>34</v>
      </c>
      <c r="AB14" s="27" t="s">
        <v>35</v>
      </c>
      <c r="AC14" s="24" t="s">
        <v>36</v>
      </c>
      <c r="AD14" s="27" t="s">
        <v>37</v>
      </c>
      <c r="AG14" s="587"/>
      <c r="AH14" s="45" t="s">
        <v>32</v>
      </c>
      <c r="AI14" s="65" t="s">
        <v>33</v>
      </c>
      <c r="AJ14" s="49" t="s">
        <v>34</v>
      </c>
      <c r="AK14" s="43" t="s">
        <v>35</v>
      </c>
      <c r="AL14" s="49" t="s">
        <v>36</v>
      </c>
      <c r="AM14" s="49" t="s">
        <v>37</v>
      </c>
      <c r="AN14" s="589"/>
      <c r="AO14" s="42" t="s">
        <v>32</v>
      </c>
      <c r="AP14" s="49" t="s">
        <v>33</v>
      </c>
      <c r="AQ14" s="43" t="s">
        <v>34</v>
      </c>
      <c r="AR14" s="49" t="s">
        <v>35</v>
      </c>
      <c r="AS14" s="43" t="s">
        <v>36</v>
      </c>
      <c r="AT14" s="49" t="s">
        <v>37</v>
      </c>
      <c r="AU14"/>
      <c r="AW14" s="575"/>
      <c r="AX14" s="410" t="s">
        <v>32</v>
      </c>
      <c r="AY14" s="183" t="s">
        <v>33</v>
      </c>
      <c r="AZ14" s="414" t="s">
        <v>34</v>
      </c>
      <c r="BA14" s="408" t="s">
        <v>35</v>
      </c>
      <c r="BB14" s="414" t="s">
        <v>36</v>
      </c>
      <c r="BC14" s="414" t="s">
        <v>37</v>
      </c>
      <c r="BD14" s="577"/>
      <c r="BE14" s="407" t="s">
        <v>32</v>
      </c>
      <c r="BF14" s="414" t="s">
        <v>33</v>
      </c>
      <c r="BG14" s="408" t="s">
        <v>34</v>
      </c>
      <c r="BH14" s="414" t="s">
        <v>35</v>
      </c>
      <c r="BI14" s="408" t="s">
        <v>36</v>
      </c>
      <c r="BJ14" s="414" t="s">
        <v>37</v>
      </c>
    </row>
    <row r="15" spans="1:62" x14ac:dyDescent="0.25">
      <c r="A15" s="73">
        <v>0</v>
      </c>
      <c r="B15" s="74">
        <v>12699</v>
      </c>
      <c r="C15" s="75">
        <v>10586</v>
      </c>
      <c r="D15" s="76">
        <v>1765</v>
      </c>
      <c r="E15" s="77">
        <v>1046</v>
      </c>
      <c r="F15" s="76">
        <v>1513</v>
      </c>
      <c r="G15" s="76">
        <v>149</v>
      </c>
      <c r="H15" s="78" t="s">
        <v>46</v>
      </c>
      <c r="I15" s="77">
        <v>11900</v>
      </c>
      <c r="J15" s="76">
        <v>11252</v>
      </c>
      <c r="K15" s="77">
        <v>553</v>
      </c>
      <c r="L15" s="76">
        <v>0</v>
      </c>
      <c r="M15" s="77">
        <v>0</v>
      </c>
      <c r="N15" s="76">
        <v>233</v>
      </c>
      <c r="Q15" s="28">
        <v>0</v>
      </c>
      <c r="R15" s="29">
        <v>11000</v>
      </c>
      <c r="S15" s="30">
        <v>9141</v>
      </c>
      <c r="T15" s="31">
        <v>1859</v>
      </c>
      <c r="U15" s="32">
        <v>1062</v>
      </c>
      <c r="V15" s="31">
        <v>1699</v>
      </c>
      <c r="W15" s="31">
        <v>353</v>
      </c>
      <c r="X15" s="33" t="s">
        <v>46</v>
      </c>
      <c r="Y15" s="32">
        <v>12811</v>
      </c>
      <c r="Z15" s="31">
        <v>12805</v>
      </c>
      <c r="AA15" s="32">
        <v>4</v>
      </c>
      <c r="AB15" s="31">
        <v>0</v>
      </c>
      <c r="AC15" s="32">
        <v>0</v>
      </c>
      <c r="AD15" s="31">
        <v>38</v>
      </c>
      <c r="AG15" s="50">
        <v>0</v>
      </c>
      <c r="AH15" s="51">
        <v>10034</v>
      </c>
      <c r="AI15" s="52">
        <v>9767</v>
      </c>
      <c r="AJ15" s="53">
        <v>619</v>
      </c>
      <c r="AK15" s="54">
        <v>81</v>
      </c>
      <c r="AL15" s="53">
        <v>222</v>
      </c>
      <c r="AM15" s="53">
        <v>188</v>
      </c>
      <c r="AN15" s="66" t="s">
        <v>46</v>
      </c>
      <c r="AO15" s="54">
        <v>10081</v>
      </c>
      <c r="AP15" s="53">
        <v>10081</v>
      </c>
      <c r="AQ15" s="54">
        <v>222</v>
      </c>
      <c r="AR15" s="53">
        <v>0</v>
      </c>
      <c r="AS15" s="54">
        <v>3</v>
      </c>
      <c r="AT15" s="53">
        <v>223</v>
      </c>
      <c r="AU15"/>
      <c r="AW15" s="415">
        <v>0</v>
      </c>
      <c r="AX15" s="161">
        <v>7314</v>
      </c>
      <c r="AY15" s="406">
        <v>3272</v>
      </c>
      <c r="AZ15" s="416">
        <v>3859</v>
      </c>
      <c r="BA15" s="312">
        <v>1337</v>
      </c>
      <c r="BB15" s="416">
        <v>2574</v>
      </c>
      <c r="BC15" s="416">
        <v>1697</v>
      </c>
      <c r="BD15" s="265" t="s">
        <v>46</v>
      </c>
      <c r="BE15" s="312">
        <v>7724</v>
      </c>
      <c r="BF15" s="416">
        <v>7507</v>
      </c>
      <c r="BG15" s="312">
        <v>157</v>
      </c>
      <c r="BH15" s="416">
        <v>9</v>
      </c>
      <c r="BI15" s="312">
        <v>107</v>
      </c>
      <c r="BJ15" s="416">
        <v>256</v>
      </c>
    </row>
    <row r="16" spans="1:62" x14ac:dyDescent="0.25">
      <c r="A16" s="79">
        <v>10</v>
      </c>
      <c r="B16" s="80">
        <v>12407</v>
      </c>
      <c r="C16" s="67">
        <v>10577</v>
      </c>
      <c r="D16" s="76">
        <v>1559</v>
      </c>
      <c r="E16" s="80">
        <v>1002</v>
      </c>
      <c r="F16" s="76">
        <v>1188</v>
      </c>
      <c r="G16" s="76">
        <v>239</v>
      </c>
      <c r="H16" s="81" t="s">
        <v>47</v>
      </c>
      <c r="I16" s="82">
        <v>11976</v>
      </c>
      <c r="J16" s="81">
        <v>11099</v>
      </c>
      <c r="K16" s="82">
        <v>766</v>
      </c>
      <c r="L16" s="81">
        <v>1719</v>
      </c>
      <c r="M16" s="82">
        <v>9</v>
      </c>
      <c r="N16" s="81">
        <v>25</v>
      </c>
      <c r="Q16" s="34">
        <v>10</v>
      </c>
      <c r="R16" s="35">
        <v>10829</v>
      </c>
      <c r="S16" s="22">
        <v>8869</v>
      </c>
      <c r="T16" s="31">
        <v>1958</v>
      </c>
      <c r="U16" s="35">
        <v>1281</v>
      </c>
      <c r="V16" s="31">
        <v>1816</v>
      </c>
      <c r="W16" s="31">
        <v>497</v>
      </c>
      <c r="X16" s="36" t="s">
        <v>47</v>
      </c>
      <c r="Y16" s="37">
        <v>10809</v>
      </c>
      <c r="Z16" s="36">
        <v>10799</v>
      </c>
      <c r="AA16" s="37">
        <v>3</v>
      </c>
      <c r="AB16" s="36">
        <v>2890</v>
      </c>
      <c r="AC16" s="37">
        <v>3</v>
      </c>
      <c r="AD16" s="36">
        <v>24</v>
      </c>
      <c r="AG16" s="56">
        <v>10</v>
      </c>
      <c r="AH16" s="57">
        <v>9976</v>
      </c>
      <c r="AI16" s="41">
        <v>9615</v>
      </c>
      <c r="AJ16" s="53">
        <v>705</v>
      </c>
      <c r="AK16" s="57">
        <v>113</v>
      </c>
      <c r="AL16" s="53">
        <v>329</v>
      </c>
      <c r="AM16" s="53">
        <v>135</v>
      </c>
      <c r="AN16" s="60" t="s">
        <v>47</v>
      </c>
      <c r="AO16" s="59">
        <v>10056</v>
      </c>
      <c r="AP16" s="60">
        <v>10092</v>
      </c>
      <c r="AQ16" s="59">
        <v>218</v>
      </c>
      <c r="AR16" s="60">
        <v>365</v>
      </c>
      <c r="AS16" s="59">
        <v>39</v>
      </c>
      <c r="AT16" s="60">
        <v>8</v>
      </c>
      <c r="AU16"/>
      <c r="AW16" s="417">
        <v>10</v>
      </c>
      <c r="AX16" s="418">
        <v>8127</v>
      </c>
      <c r="AY16" s="419">
        <v>6433</v>
      </c>
      <c r="AZ16" s="416">
        <v>1598</v>
      </c>
      <c r="BA16" s="418">
        <v>3384</v>
      </c>
      <c r="BB16" s="416">
        <v>1535</v>
      </c>
      <c r="BC16" s="416">
        <v>691</v>
      </c>
      <c r="BD16" s="162" t="s">
        <v>47</v>
      </c>
      <c r="BE16" s="286">
        <v>6723</v>
      </c>
      <c r="BF16" s="162">
        <v>6666</v>
      </c>
      <c r="BG16" s="286">
        <v>45</v>
      </c>
      <c r="BH16" s="162">
        <v>5680</v>
      </c>
      <c r="BI16" s="286">
        <v>100</v>
      </c>
      <c r="BJ16" s="162">
        <v>9</v>
      </c>
    </row>
    <row r="17" spans="1:62" ht="15.75" thickBot="1" x14ac:dyDescent="0.3">
      <c r="A17" s="79">
        <v>20</v>
      </c>
      <c r="B17" s="81">
        <v>12108</v>
      </c>
      <c r="C17" s="82">
        <v>10286</v>
      </c>
      <c r="D17" s="81">
        <v>1534</v>
      </c>
      <c r="E17" s="82">
        <v>1065</v>
      </c>
      <c r="F17" s="81">
        <v>1194</v>
      </c>
      <c r="G17" s="81">
        <v>222</v>
      </c>
      <c r="H17" s="83" t="s">
        <v>37</v>
      </c>
      <c r="I17" s="84">
        <v>14008</v>
      </c>
      <c r="J17" s="83">
        <v>11608</v>
      </c>
      <c r="K17" s="84">
        <v>2355</v>
      </c>
      <c r="L17" s="83">
        <v>0</v>
      </c>
      <c r="M17" s="84">
        <v>1</v>
      </c>
      <c r="N17" s="83">
        <v>2229</v>
      </c>
      <c r="Q17" s="34">
        <v>20</v>
      </c>
      <c r="R17" s="36">
        <v>10767</v>
      </c>
      <c r="S17" s="37">
        <v>9165</v>
      </c>
      <c r="T17" s="36">
        <v>1600</v>
      </c>
      <c r="U17" s="37">
        <v>1284</v>
      </c>
      <c r="V17" s="36">
        <v>1515</v>
      </c>
      <c r="W17" s="36">
        <v>367</v>
      </c>
      <c r="X17" s="38" t="s">
        <v>37</v>
      </c>
      <c r="Y17" s="39">
        <v>10198</v>
      </c>
      <c r="Z17" s="38">
        <v>8434</v>
      </c>
      <c r="AA17" s="39">
        <v>1761</v>
      </c>
      <c r="AB17" s="38">
        <v>0</v>
      </c>
      <c r="AC17" s="39">
        <v>0</v>
      </c>
      <c r="AD17" s="38">
        <v>2088</v>
      </c>
      <c r="AG17" s="56">
        <v>20</v>
      </c>
      <c r="AH17" s="60">
        <v>10032</v>
      </c>
      <c r="AI17" s="59">
        <v>9706</v>
      </c>
      <c r="AJ17" s="60">
        <v>618</v>
      </c>
      <c r="AK17" s="59">
        <v>215</v>
      </c>
      <c r="AL17" s="60">
        <v>426</v>
      </c>
      <c r="AM17" s="60">
        <v>59</v>
      </c>
      <c r="AN17" s="63" t="s">
        <v>37</v>
      </c>
      <c r="AO17" s="62">
        <v>10047</v>
      </c>
      <c r="AP17" s="63">
        <v>9893</v>
      </c>
      <c r="AQ17" s="62">
        <v>525</v>
      </c>
      <c r="AR17" s="63">
        <v>2</v>
      </c>
      <c r="AS17" s="62">
        <v>4</v>
      </c>
      <c r="AT17" s="63">
        <v>479</v>
      </c>
      <c r="AU17"/>
      <c r="AW17" s="417">
        <v>20</v>
      </c>
      <c r="AX17" s="162">
        <v>7343</v>
      </c>
      <c r="AY17" s="286">
        <v>4284</v>
      </c>
      <c r="AZ17" s="162">
        <v>2908</v>
      </c>
      <c r="BA17" s="286">
        <v>1975</v>
      </c>
      <c r="BB17" s="162">
        <v>2688</v>
      </c>
      <c r="BC17" s="162">
        <v>1033</v>
      </c>
      <c r="BD17" s="163" t="s">
        <v>37</v>
      </c>
      <c r="BE17" s="319">
        <v>8089</v>
      </c>
      <c r="BF17" s="163">
        <v>5618</v>
      </c>
      <c r="BG17" s="319">
        <v>2378</v>
      </c>
      <c r="BH17" s="163">
        <v>3</v>
      </c>
      <c r="BI17" s="319">
        <v>11</v>
      </c>
      <c r="BJ17" s="163">
        <v>2888</v>
      </c>
    </row>
    <row r="18" spans="1:62" x14ac:dyDescent="0.25">
      <c r="A18" s="79">
        <v>40</v>
      </c>
      <c r="B18" s="81">
        <v>12672</v>
      </c>
      <c r="C18" s="82">
        <v>11173</v>
      </c>
      <c r="D18" s="81">
        <v>1271</v>
      </c>
      <c r="E18" s="82">
        <v>761</v>
      </c>
      <c r="F18" s="81">
        <v>999</v>
      </c>
      <c r="G18" s="81">
        <v>193</v>
      </c>
      <c r="H18"/>
      <c r="I18"/>
      <c r="J18"/>
      <c r="K18"/>
      <c r="L18"/>
      <c r="M18"/>
      <c r="N18"/>
      <c r="Q18" s="34">
        <v>40</v>
      </c>
      <c r="R18" s="36">
        <v>10619</v>
      </c>
      <c r="S18" s="37">
        <v>8820</v>
      </c>
      <c r="T18" s="36">
        <v>1796</v>
      </c>
      <c r="U18" s="37">
        <v>1092</v>
      </c>
      <c r="V18" s="36">
        <v>1541</v>
      </c>
      <c r="W18" s="36">
        <v>564</v>
      </c>
      <c r="X18"/>
      <c r="Y18"/>
      <c r="Z18"/>
      <c r="AA18"/>
      <c r="AB18"/>
      <c r="AC18"/>
      <c r="AD18"/>
      <c r="AG18" s="56">
        <v>40</v>
      </c>
      <c r="AH18" s="60">
        <v>10004</v>
      </c>
      <c r="AI18" s="59">
        <v>9501</v>
      </c>
      <c r="AJ18" s="60">
        <v>831</v>
      </c>
      <c r="AK18" s="59">
        <v>135</v>
      </c>
      <c r="AL18" s="60">
        <v>495</v>
      </c>
      <c r="AM18" s="60">
        <v>111</v>
      </c>
      <c r="AN18" s="55" t="s">
        <v>42</v>
      </c>
      <c r="AO18" s="54">
        <v>8362</v>
      </c>
      <c r="AP18" s="53">
        <v>7839</v>
      </c>
      <c r="AQ18" s="54">
        <v>4057</v>
      </c>
      <c r="AR18" s="53">
        <v>732</v>
      </c>
      <c r="AS18" s="54">
        <v>552</v>
      </c>
      <c r="AT18" s="53">
        <v>872</v>
      </c>
      <c r="AU18"/>
      <c r="AW18" s="417">
        <v>40</v>
      </c>
      <c r="AX18" s="162">
        <v>7190</v>
      </c>
      <c r="AY18" s="286">
        <v>3954</v>
      </c>
      <c r="AZ18" s="162">
        <v>3104</v>
      </c>
      <c r="BA18" s="286">
        <v>1741</v>
      </c>
      <c r="BB18" s="162">
        <v>2415</v>
      </c>
      <c r="BC18" s="162">
        <v>1197</v>
      </c>
      <c r="BD18" s="420" t="s">
        <v>42</v>
      </c>
      <c r="BE18" s="312">
        <v>7717</v>
      </c>
      <c r="BF18" s="416">
        <v>4287</v>
      </c>
      <c r="BG18" s="312">
        <v>3135</v>
      </c>
      <c r="BH18" s="416">
        <v>2283</v>
      </c>
      <c r="BI18" s="312">
        <v>2687</v>
      </c>
      <c r="BJ18" s="416">
        <v>808</v>
      </c>
    </row>
    <row r="19" spans="1:62" x14ac:dyDescent="0.25">
      <c r="A19" s="79">
        <v>100</v>
      </c>
      <c r="B19" s="81">
        <v>12523</v>
      </c>
      <c r="C19" s="82">
        <v>10914</v>
      </c>
      <c r="D19" s="81">
        <v>1310</v>
      </c>
      <c r="E19" s="82">
        <v>1030</v>
      </c>
      <c r="F19" s="81">
        <v>1119</v>
      </c>
      <c r="G19" s="81">
        <v>76</v>
      </c>
      <c r="H19"/>
      <c r="I19"/>
      <c r="J19"/>
      <c r="K19"/>
      <c r="L19"/>
      <c r="M19"/>
      <c r="N19"/>
      <c r="Q19" s="34">
        <v>100</v>
      </c>
      <c r="R19" s="36">
        <v>15006</v>
      </c>
      <c r="S19" s="37">
        <v>12736</v>
      </c>
      <c r="T19" s="36">
        <v>2269</v>
      </c>
      <c r="U19" s="37">
        <v>1735</v>
      </c>
      <c r="V19" s="36">
        <v>2162</v>
      </c>
      <c r="W19" s="36">
        <v>376</v>
      </c>
      <c r="X19"/>
      <c r="Y19"/>
      <c r="Z19"/>
      <c r="AA19"/>
      <c r="AB19"/>
      <c r="AC19"/>
      <c r="AD19"/>
      <c r="AG19" s="56">
        <v>100</v>
      </c>
      <c r="AH19" s="60">
        <v>9947</v>
      </c>
      <c r="AI19" s="59">
        <v>9460</v>
      </c>
      <c r="AJ19" s="60">
        <v>841</v>
      </c>
      <c r="AK19" s="59">
        <v>137</v>
      </c>
      <c r="AL19" s="60">
        <v>410</v>
      </c>
      <c r="AM19" s="60">
        <v>161</v>
      </c>
      <c r="AN19" s="58" t="s">
        <v>43</v>
      </c>
      <c r="AO19" s="59">
        <v>8130</v>
      </c>
      <c r="AP19" s="60">
        <v>7301</v>
      </c>
      <c r="AQ19" s="59">
        <v>5445</v>
      </c>
      <c r="AR19" s="60">
        <v>776</v>
      </c>
      <c r="AS19" s="59">
        <v>1024</v>
      </c>
      <c r="AT19" s="60">
        <v>557</v>
      </c>
      <c r="AU19"/>
      <c r="AW19" s="417">
        <v>100</v>
      </c>
      <c r="AX19" s="162">
        <v>7122</v>
      </c>
      <c r="AY19" s="286">
        <v>3831</v>
      </c>
      <c r="AZ19" s="162">
        <v>3173</v>
      </c>
      <c r="BA19" s="286">
        <v>1850</v>
      </c>
      <c r="BB19" s="162">
        <v>2442</v>
      </c>
      <c r="BC19" s="162">
        <v>1146</v>
      </c>
      <c r="BD19" s="421" t="s">
        <v>43</v>
      </c>
      <c r="BE19" s="286">
        <v>7119</v>
      </c>
      <c r="BF19" s="162">
        <v>3510</v>
      </c>
      <c r="BG19" s="286">
        <v>3301</v>
      </c>
      <c r="BH19" s="162">
        <v>1623</v>
      </c>
      <c r="BI19" s="286">
        <v>2322</v>
      </c>
      <c r="BJ19" s="162">
        <v>1188</v>
      </c>
    </row>
    <row r="20" spans="1:62" ht="15.75" thickBot="1" x14ac:dyDescent="0.3">
      <c r="A20" s="79">
        <v>120</v>
      </c>
      <c r="B20" s="81">
        <v>12631</v>
      </c>
      <c r="C20" s="82">
        <v>10950</v>
      </c>
      <c r="D20" s="81">
        <v>1411</v>
      </c>
      <c r="E20" s="82">
        <v>917</v>
      </c>
      <c r="F20" s="81">
        <v>1138</v>
      </c>
      <c r="G20" s="81">
        <v>187</v>
      </c>
      <c r="H20"/>
      <c r="I20"/>
      <c r="J20"/>
      <c r="K20"/>
      <c r="L20"/>
      <c r="M20"/>
      <c r="N20"/>
      <c r="Q20" s="34">
        <v>120</v>
      </c>
      <c r="R20" s="36">
        <v>14828</v>
      </c>
      <c r="S20" s="37">
        <v>12421</v>
      </c>
      <c r="T20" s="36">
        <v>2405</v>
      </c>
      <c r="U20" s="37">
        <v>1874</v>
      </c>
      <c r="V20" s="36">
        <v>2209</v>
      </c>
      <c r="W20" s="36">
        <v>620</v>
      </c>
      <c r="X20"/>
      <c r="Y20"/>
      <c r="Z20"/>
      <c r="AA20"/>
      <c r="AB20"/>
      <c r="AC20"/>
      <c r="AD20"/>
      <c r="AG20" s="56">
        <v>120</v>
      </c>
      <c r="AH20" s="60">
        <v>9955</v>
      </c>
      <c r="AI20" s="59">
        <v>9546</v>
      </c>
      <c r="AJ20" s="60">
        <v>724</v>
      </c>
      <c r="AK20" s="59">
        <v>178</v>
      </c>
      <c r="AL20" s="60">
        <v>356</v>
      </c>
      <c r="AM20" s="60">
        <v>114</v>
      </c>
      <c r="AN20" s="61" t="s">
        <v>44</v>
      </c>
      <c r="AO20" s="62">
        <v>8639</v>
      </c>
      <c r="AP20" s="63">
        <v>7599</v>
      </c>
      <c r="AQ20" s="62">
        <v>4609</v>
      </c>
      <c r="AR20" s="63">
        <v>983</v>
      </c>
      <c r="AS20" s="62">
        <v>921</v>
      </c>
      <c r="AT20" s="63">
        <v>808</v>
      </c>
      <c r="AU20"/>
      <c r="AW20" s="417">
        <v>120</v>
      </c>
      <c r="AX20" s="162">
        <v>6922</v>
      </c>
      <c r="AY20" s="286">
        <v>3481</v>
      </c>
      <c r="AZ20" s="162">
        <v>3303</v>
      </c>
      <c r="BA20" s="286">
        <v>1666</v>
      </c>
      <c r="BB20" s="162">
        <v>2587</v>
      </c>
      <c r="BC20" s="162">
        <v>1239</v>
      </c>
      <c r="BD20" s="422" t="s">
        <v>44</v>
      </c>
      <c r="BE20" s="319">
        <v>7140</v>
      </c>
      <c r="BF20" s="163">
        <v>3525</v>
      </c>
      <c r="BG20" s="319">
        <v>3346</v>
      </c>
      <c r="BH20" s="163">
        <v>1646</v>
      </c>
      <c r="BI20" s="319">
        <v>2476</v>
      </c>
      <c r="BJ20" s="163">
        <v>1084</v>
      </c>
    </row>
    <row r="21" spans="1:62" ht="15.75" thickBot="1" x14ac:dyDescent="0.3">
      <c r="A21" s="85">
        <v>400</v>
      </c>
      <c r="B21" s="83">
        <v>12785</v>
      </c>
      <c r="C21" s="84">
        <v>11333</v>
      </c>
      <c r="D21" s="83">
        <v>1426</v>
      </c>
      <c r="E21" s="84">
        <v>903</v>
      </c>
      <c r="F21" s="83">
        <v>611</v>
      </c>
      <c r="G21" s="83">
        <v>433</v>
      </c>
      <c r="H21"/>
      <c r="I21"/>
      <c r="J21"/>
      <c r="K21"/>
      <c r="L21"/>
      <c r="M21"/>
      <c r="N21"/>
      <c r="Q21" s="40">
        <v>400</v>
      </c>
      <c r="R21" s="38">
        <v>10400</v>
      </c>
      <c r="S21" s="39">
        <v>9147</v>
      </c>
      <c r="T21" s="38">
        <v>1249</v>
      </c>
      <c r="U21" s="39">
        <v>1236</v>
      </c>
      <c r="V21" s="38">
        <v>1201</v>
      </c>
      <c r="W21" s="38">
        <v>248</v>
      </c>
      <c r="X21"/>
      <c r="Y21"/>
      <c r="Z21"/>
      <c r="AA21"/>
      <c r="AB21"/>
      <c r="AC21"/>
      <c r="AD21"/>
      <c r="AG21" s="64">
        <v>400</v>
      </c>
      <c r="AH21" s="63">
        <v>10040</v>
      </c>
      <c r="AI21" s="62">
        <v>9367</v>
      </c>
      <c r="AJ21" s="63">
        <v>724</v>
      </c>
      <c r="AK21" s="62">
        <v>199</v>
      </c>
      <c r="AL21" s="63">
        <v>665</v>
      </c>
      <c r="AM21" s="63">
        <v>96</v>
      </c>
      <c r="AN21"/>
      <c r="AO21"/>
      <c r="AP21"/>
      <c r="AQ21"/>
      <c r="AR21"/>
      <c r="AS21"/>
      <c r="AT21"/>
      <c r="AU21"/>
      <c r="AW21" s="423">
        <v>400</v>
      </c>
      <c r="AX21" s="163">
        <v>6774</v>
      </c>
      <c r="AY21" s="319">
        <v>3641</v>
      </c>
      <c r="AZ21" s="163">
        <v>3001</v>
      </c>
      <c r="BA21" s="319">
        <v>1485</v>
      </c>
      <c r="BB21" s="163">
        <v>2253</v>
      </c>
      <c r="BC21" s="163">
        <v>1241</v>
      </c>
    </row>
    <row r="22" spans="1:62" ht="15.75" thickBo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</row>
    <row r="23" spans="1:62" ht="15.75" thickBot="1" x14ac:dyDescent="0.3">
      <c r="A23" s="593" t="s">
        <v>49</v>
      </c>
      <c r="B23" s="594"/>
      <c r="C23" s="594"/>
      <c r="D23" s="594"/>
      <c r="E23" s="594"/>
      <c r="F23" s="594"/>
      <c r="G23" s="595"/>
      <c r="H23" s="596" t="s">
        <v>29</v>
      </c>
      <c r="I23" s="597"/>
      <c r="J23" s="597"/>
      <c r="K23" s="597"/>
      <c r="L23" s="597"/>
      <c r="M23" s="597"/>
      <c r="N23" s="598"/>
      <c r="Q23" s="547" t="s">
        <v>126</v>
      </c>
      <c r="R23" s="548"/>
      <c r="S23" s="548"/>
      <c r="T23" s="548"/>
      <c r="U23" s="548"/>
      <c r="V23" s="548"/>
      <c r="W23" s="549"/>
      <c r="X23" s="555" t="s">
        <v>29</v>
      </c>
      <c r="Y23" s="556"/>
      <c r="Z23" s="556"/>
      <c r="AA23" s="556"/>
      <c r="AB23" s="556"/>
      <c r="AC23" s="556"/>
      <c r="AD23" s="557"/>
      <c r="AG23" s="581" t="s">
        <v>119</v>
      </c>
      <c r="AH23" s="582"/>
      <c r="AI23" s="582"/>
      <c r="AJ23" s="582"/>
      <c r="AK23" s="582"/>
      <c r="AL23" s="582"/>
      <c r="AM23" s="583"/>
      <c r="AN23" s="584" t="s">
        <v>29</v>
      </c>
      <c r="AO23" s="585"/>
      <c r="AP23" s="585"/>
      <c r="AQ23" s="585"/>
      <c r="AR23" s="585"/>
      <c r="AS23" s="585"/>
      <c r="AT23" s="586"/>
      <c r="AU23"/>
      <c r="AW23" s="569" t="s">
        <v>122</v>
      </c>
      <c r="AX23" s="570"/>
      <c r="AY23" s="570"/>
      <c r="AZ23" s="570"/>
      <c r="BA23" s="570"/>
      <c r="BB23" s="570"/>
      <c r="BC23" s="571"/>
      <c r="BD23" s="572" t="s">
        <v>29</v>
      </c>
      <c r="BE23" s="573"/>
      <c r="BF23" s="573"/>
      <c r="BG23" s="573"/>
      <c r="BH23" s="573"/>
      <c r="BI23" s="573"/>
      <c r="BJ23" s="574"/>
    </row>
    <row r="24" spans="1:62" ht="15.75" thickBot="1" x14ac:dyDescent="0.3">
      <c r="A24" s="599" t="s">
        <v>30</v>
      </c>
      <c r="B24" s="596" t="s">
        <v>31</v>
      </c>
      <c r="C24" s="597"/>
      <c r="D24" s="597"/>
      <c r="E24" s="597"/>
      <c r="F24" s="597"/>
      <c r="G24" s="598"/>
      <c r="H24" s="599" t="s">
        <v>48</v>
      </c>
      <c r="I24" s="596" t="s">
        <v>31</v>
      </c>
      <c r="J24" s="597"/>
      <c r="K24" s="597"/>
      <c r="L24" s="597"/>
      <c r="M24" s="597"/>
      <c r="N24" s="598"/>
      <c r="Q24" s="550" t="s">
        <v>30</v>
      </c>
      <c r="R24" s="556" t="s">
        <v>31</v>
      </c>
      <c r="S24" s="556"/>
      <c r="T24" s="559"/>
      <c r="U24" s="559"/>
      <c r="V24" s="559"/>
      <c r="W24" s="560"/>
      <c r="X24" s="550" t="s">
        <v>48</v>
      </c>
      <c r="Y24" s="552" t="s">
        <v>31</v>
      </c>
      <c r="Z24" s="553"/>
      <c r="AA24" s="553"/>
      <c r="AB24" s="553"/>
      <c r="AC24" s="553"/>
      <c r="AD24" s="554"/>
      <c r="AG24" s="587" t="s">
        <v>30</v>
      </c>
      <c r="AH24" s="584" t="s">
        <v>31</v>
      </c>
      <c r="AI24" s="585"/>
      <c r="AJ24" s="585"/>
      <c r="AK24" s="585"/>
      <c r="AL24" s="585"/>
      <c r="AM24" s="586"/>
      <c r="AN24" s="588" t="s">
        <v>48</v>
      </c>
      <c r="AO24" s="590" t="s">
        <v>31</v>
      </c>
      <c r="AP24" s="591"/>
      <c r="AQ24" s="591"/>
      <c r="AR24" s="591"/>
      <c r="AS24" s="591"/>
      <c r="AT24" s="592"/>
      <c r="AU24"/>
      <c r="AW24" s="575" t="s">
        <v>30</v>
      </c>
      <c r="AX24" s="572" t="s">
        <v>31</v>
      </c>
      <c r="AY24" s="573"/>
      <c r="AZ24" s="573"/>
      <c r="BA24" s="573"/>
      <c r="BB24" s="573"/>
      <c r="BC24" s="574"/>
      <c r="BD24" s="576" t="s">
        <v>48</v>
      </c>
      <c r="BE24" s="578" t="s">
        <v>31</v>
      </c>
      <c r="BF24" s="579"/>
      <c r="BG24" s="579"/>
      <c r="BH24" s="579"/>
      <c r="BI24" s="579"/>
      <c r="BJ24" s="580"/>
    </row>
    <row r="25" spans="1:62" ht="15.75" thickBot="1" x14ac:dyDescent="0.3">
      <c r="A25" s="600"/>
      <c r="B25" s="70" t="s">
        <v>32</v>
      </c>
      <c r="C25" s="71" t="s">
        <v>33</v>
      </c>
      <c r="D25" s="72" t="s">
        <v>34</v>
      </c>
      <c r="E25" s="69" t="s">
        <v>35</v>
      </c>
      <c r="F25" s="72" t="s">
        <v>36</v>
      </c>
      <c r="G25" s="72" t="s">
        <v>37</v>
      </c>
      <c r="H25" s="600"/>
      <c r="I25" s="68" t="s">
        <v>32</v>
      </c>
      <c r="J25" s="72" t="s">
        <v>33</v>
      </c>
      <c r="K25" s="69" t="s">
        <v>34</v>
      </c>
      <c r="L25" s="72" t="s">
        <v>35</v>
      </c>
      <c r="M25" s="69" t="s">
        <v>36</v>
      </c>
      <c r="N25" s="72" t="s">
        <v>37</v>
      </c>
      <c r="Q25" s="558"/>
      <c r="R25" s="25" t="s">
        <v>32</v>
      </c>
      <c r="S25" s="26" t="s">
        <v>33</v>
      </c>
      <c r="T25" s="27" t="s">
        <v>34</v>
      </c>
      <c r="U25" s="24" t="s">
        <v>35</v>
      </c>
      <c r="V25" s="27" t="s">
        <v>36</v>
      </c>
      <c r="W25" s="27" t="s">
        <v>37</v>
      </c>
      <c r="X25" s="551"/>
      <c r="Y25" s="23" t="s">
        <v>32</v>
      </c>
      <c r="Z25" s="27" t="s">
        <v>33</v>
      </c>
      <c r="AA25" s="24" t="s">
        <v>34</v>
      </c>
      <c r="AB25" s="27" t="s">
        <v>35</v>
      </c>
      <c r="AC25" s="24" t="s">
        <v>36</v>
      </c>
      <c r="AD25" s="27" t="s">
        <v>37</v>
      </c>
      <c r="AG25" s="587"/>
      <c r="AH25" s="45" t="s">
        <v>32</v>
      </c>
      <c r="AI25" s="65" t="s">
        <v>33</v>
      </c>
      <c r="AJ25" s="49" t="s">
        <v>34</v>
      </c>
      <c r="AK25" s="43" t="s">
        <v>35</v>
      </c>
      <c r="AL25" s="49" t="s">
        <v>36</v>
      </c>
      <c r="AM25" s="49" t="s">
        <v>37</v>
      </c>
      <c r="AN25" s="589"/>
      <c r="AO25" s="42" t="s">
        <v>32</v>
      </c>
      <c r="AP25" s="49" t="s">
        <v>33</v>
      </c>
      <c r="AQ25" s="43" t="s">
        <v>34</v>
      </c>
      <c r="AR25" s="49" t="s">
        <v>35</v>
      </c>
      <c r="AS25" s="43" t="s">
        <v>36</v>
      </c>
      <c r="AT25" s="49" t="s">
        <v>37</v>
      </c>
      <c r="AU25"/>
      <c r="AW25" s="575"/>
      <c r="AX25" s="410" t="s">
        <v>32</v>
      </c>
      <c r="AY25" s="183" t="s">
        <v>33</v>
      </c>
      <c r="AZ25" s="414" t="s">
        <v>34</v>
      </c>
      <c r="BA25" s="408" t="s">
        <v>35</v>
      </c>
      <c r="BB25" s="414" t="s">
        <v>36</v>
      </c>
      <c r="BC25" s="414" t="s">
        <v>37</v>
      </c>
      <c r="BD25" s="577"/>
      <c r="BE25" s="407" t="s">
        <v>32</v>
      </c>
      <c r="BF25" s="414" t="s">
        <v>33</v>
      </c>
      <c r="BG25" s="408" t="s">
        <v>34</v>
      </c>
      <c r="BH25" s="414" t="s">
        <v>35</v>
      </c>
      <c r="BI25" s="408" t="s">
        <v>36</v>
      </c>
      <c r="BJ25" s="414" t="s">
        <v>37</v>
      </c>
    </row>
    <row r="26" spans="1:62" x14ac:dyDescent="0.25">
      <c r="A26" s="73">
        <v>0</v>
      </c>
      <c r="B26" s="74">
        <v>12578</v>
      </c>
      <c r="C26" s="75">
        <v>11176</v>
      </c>
      <c r="D26" s="76">
        <v>1580</v>
      </c>
      <c r="E26" s="77">
        <v>625</v>
      </c>
      <c r="F26" s="76">
        <v>1269</v>
      </c>
      <c r="G26" s="76">
        <v>230</v>
      </c>
      <c r="H26" s="78" t="s">
        <v>46</v>
      </c>
      <c r="I26" s="77">
        <v>18693</v>
      </c>
      <c r="J26" s="76">
        <v>18224</v>
      </c>
      <c r="K26" s="77">
        <v>109</v>
      </c>
      <c r="L26" s="76">
        <v>0</v>
      </c>
      <c r="M26" s="77">
        <v>0</v>
      </c>
      <c r="N26" s="76">
        <v>533</v>
      </c>
      <c r="Q26" s="28">
        <v>0</v>
      </c>
      <c r="R26" s="29">
        <v>10105</v>
      </c>
      <c r="S26" s="30">
        <v>8589</v>
      </c>
      <c r="T26" s="31">
        <v>1490</v>
      </c>
      <c r="U26" s="32">
        <v>737</v>
      </c>
      <c r="V26" s="31">
        <v>717</v>
      </c>
      <c r="W26" s="31">
        <v>1365</v>
      </c>
      <c r="X26" s="33" t="s">
        <v>46</v>
      </c>
      <c r="Y26" s="32">
        <v>9979</v>
      </c>
      <c r="Z26" s="31">
        <v>9792</v>
      </c>
      <c r="AA26" s="32">
        <v>184</v>
      </c>
      <c r="AB26" s="31">
        <v>0</v>
      </c>
      <c r="AC26" s="32">
        <v>0</v>
      </c>
      <c r="AD26" s="31">
        <v>1066</v>
      </c>
      <c r="AG26" s="50">
        <v>0</v>
      </c>
      <c r="AH26" s="51">
        <v>10023</v>
      </c>
      <c r="AI26" s="52">
        <v>9493</v>
      </c>
      <c r="AJ26" s="53">
        <v>505</v>
      </c>
      <c r="AK26" s="54">
        <v>397</v>
      </c>
      <c r="AL26" s="53">
        <v>567</v>
      </c>
      <c r="AM26" s="53">
        <v>55</v>
      </c>
      <c r="AN26" s="66" t="s">
        <v>46</v>
      </c>
      <c r="AO26" s="54">
        <v>10072</v>
      </c>
      <c r="AP26" s="53">
        <v>9776</v>
      </c>
      <c r="AQ26" s="54">
        <v>259</v>
      </c>
      <c r="AR26" s="53">
        <v>0</v>
      </c>
      <c r="AS26" s="54">
        <v>15</v>
      </c>
      <c r="AT26" s="53">
        <v>236</v>
      </c>
      <c r="AU26"/>
      <c r="AW26" s="415">
        <v>0</v>
      </c>
      <c r="AX26" s="161">
        <v>9056</v>
      </c>
      <c r="AY26" s="406">
        <v>7332</v>
      </c>
      <c r="AZ26" s="416">
        <v>1698</v>
      </c>
      <c r="BA26" s="312">
        <v>2708</v>
      </c>
      <c r="BB26" s="416">
        <v>1239</v>
      </c>
      <c r="BC26" s="416">
        <v>175</v>
      </c>
      <c r="BD26" s="265" t="s">
        <v>46</v>
      </c>
      <c r="BE26" s="312">
        <v>9135</v>
      </c>
      <c r="BF26" s="416">
        <v>7027</v>
      </c>
      <c r="BG26" s="312">
        <v>2079</v>
      </c>
      <c r="BH26" s="416">
        <v>0</v>
      </c>
      <c r="BI26" s="312">
        <v>2</v>
      </c>
      <c r="BJ26" s="416">
        <v>378</v>
      </c>
    </row>
    <row r="27" spans="1:62" x14ac:dyDescent="0.25">
      <c r="A27" s="79">
        <v>10</v>
      </c>
      <c r="B27" s="80">
        <v>12528</v>
      </c>
      <c r="C27" s="67">
        <v>11449</v>
      </c>
      <c r="D27" s="76">
        <v>1322</v>
      </c>
      <c r="E27" s="80">
        <v>321</v>
      </c>
      <c r="F27" s="76">
        <v>514</v>
      </c>
      <c r="G27" s="76">
        <v>706</v>
      </c>
      <c r="H27" s="81" t="s">
        <v>47</v>
      </c>
      <c r="I27" s="82">
        <v>12484</v>
      </c>
      <c r="J27" s="81">
        <v>12300</v>
      </c>
      <c r="K27" s="82">
        <v>6</v>
      </c>
      <c r="L27" s="81">
        <v>1007</v>
      </c>
      <c r="M27" s="82">
        <v>35</v>
      </c>
      <c r="N27" s="81">
        <v>77</v>
      </c>
      <c r="Q27" s="34">
        <v>10</v>
      </c>
      <c r="R27" s="35">
        <v>10484</v>
      </c>
      <c r="S27" s="22">
        <v>8565</v>
      </c>
      <c r="T27" s="31">
        <v>1905</v>
      </c>
      <c r="U27" s="35">
        <v>933</v>
      </c>
      <c r="V27" s="31">
        <v>897</v>
      </c>
      <c r="W27" s="31">
        <v>1747</v>
      </c>
      <c r="X27" s="36" t="s">
        <v>47</v>
      </c>
      <c r="Y27" s="37">
        <v>10693</v>
      </c>
      <c r="Z27" s="36">
        <v>10509</v>
      </c>
      <c r="AA27" s="37">
        <v>73</v>
      </c>
      <c r="AB27" s="36">
        <v>1708</v>
      </c>
      <c r="AC27" s="37">
        <v>148</v>
      </c>
      <c r="AD27" s="36">
        <v>608</v>
      </c>
      <c r="AG27" s="56">
        <v>10</v>
      </c>
      <c r="AH27" s="57">
        <v>10015</v>
      </c>
      <c r="AI27" s="41">
        <v>9600</v>
      </c>
      <c r="AJ27" s="53">
        <v>386</v>
      </c>
      <c r="AK27" s="57">
        <v>614</v>
      </c>
      <c r="AL27" s="53">
        <v>513</v>
      </c>
      <c r="AM27" s="53">
        <v>25</v>
      </c>
      <c r="AN27" s="60" t="s">
        <v>47</v>
      </c>
      <c r="AO27" s="59">
        <v>9951</v>
      </c>
      <c r="AP27" s="60">
        <v>9649</v>
      </c>
      <c r="AQ27" s="59">
        <v>167</v>
      </c>
      <c r="AR27" s="60">
        <v>834</v>
      </c>
      <c r="AS27" s="59">
        <v>167</v>
      </c>
      <c r="AT27" s="60">
        <v>2</v>
      </c>
      <c r="AU27"/>
      <c r="AW27" s="417">
        <v>10</v>
      </c>
      <c r="AX27" s="418">
        <v>8687</v>
      </c>
      <c r="AY27" s="419">
        <v>6702</v>
      </c>
      <c r="AZ27" s="416">
        <v>1972</v>
      </c>
      <c r="BA27" s="418">
        <v>2232</v>
      </c>
      <c r="BB27" s="416">
        <v>1011</v>
      </c>
      <c r="BC27" s="416">
        <v>504</v>
      </c>
      <c r="BD27" s="162" t="s">
        <v>47</v>
      </c>
      <c r="BE27" s="286">
        <v>8807</v>
      </c>
      <c r="BF27" s="162">
        <v>6951</v>
      </c>
      <c r="BG27" s="286">
        <v>1815</v>
      </c>
      <c r="BH27" s="162">
        <v>3100</v>
      </c>
      <c r="BI27" s="286">
        <v>408</v>
      </c>
      <c r="BJ27" s="162">
        <v>42</v>
      </c>
    </row>
    <row r="28" spans="1:62" ht="15.75" thickBot="1" x14ac:dyDescent="0.3">
      <c r="A28" s="79">
        <v>20</v>
      </c>
      <c r="B28" s="81">
        <v>12412</v>
      </c>
      <c r="C28" s="82">
        <v>11270</v>
      </c>
      <c r="D28" s="81">
        <v>1335</v>
      </c>
      <c r="E28" s="82">
        <v>477</v>
      </c>
      <c r="F28" s="81">
        <v>916</v>
      </c>
      <c r="G28" s="81">
        <v>286</v>
      </c>
      <c r="H28" s="83" t="s">
        <v>37</v>
      </c>
      <c r="I28" s="84">
        <v>13657</v>
      </c>
      <c r="J28" s="83">
        <v>12785</v>
      </c>
      <c r="K28" s="84">
        <v>1044</v>
      </c>
      <c r="L28" s="83">
        <v>0</v>
      </c>
      <c r="M28" s="84">
        <v>0</v>
      </c>
      <c r="N28" s="83">
        <v>961</v>
      </c>
      <c r="Q28" s="34">
        <v>20</v>
      </c>
      <c r="R28" s="36">
        <v>10262</v>
      </c>
      <c r="S28" s="37">
        <v>8522</v>
      </c>
      <c r="T28" s="36">
        <v>1712</v>
      </c>
      <c r="U28" s="37">
        <v>943</v>
      </c>
      <c r="V28" s="36">
        <v>819</v>
      </c>
      <c r="W28" s="36">
        <v>1590</v>
      </c>
      <c r="X28" s="38" t="s">
        <v>37</v>
      </c>
      <c r="Y28" s="39">
        <v>10302</v>
      </c>
      <c r="Z28" s="38">
        <v>8633</v>
      </c>
      <c r="AA28" s="39">
        <v>1668</v>
      </c>
      <c r="AB28" s="38">
        <v>1</v>
      </c>
      <c r="AC28" s="39">
        <v>0</v>
      </c>
      <c r="AD28" s="38">
        <v>2444</v>
      </c>
      <c r="AG28" s="56">
        <v>20</v>
      </c>
      <c r="AH28" s="60">
        <v>10041</v>
      </c>
      <c r="AI28" s="59">
        <v>9632</v>
      </c>
      <c r="AJ28" s="60">
        <v>388</v>
      </c>
      <c r="AK28" s="59">
        <v>273</v>
      </c>
      <c r="AL28" s="60">
        <v>500</v>
      </c>
      <c r="AM28" s="60">
        <v>31</v>
      </c>
      <c r="AN28" s="63" t="s">
        <v>37</v>
      </c>
      <c r="AO28" s="62">
        <v>10094</v>
      </c>
      <c r="AP28" s="63">
        <v>9586</v>
      </c>
      <c r="AQ28" s="62">
        <v>483</v>
      </c>
      <c r="AR28" s="63">
        <v>1</v>
      </c>
      <c r="AS28" s="62">
        <v>28</v>
      </c>
      <c r="AT28" s="63">
        <v>566</v>
      </c>
      <c r="AU28"/>
      <c r="AW28" s="417">
        <v>20</v>
      </c>
      <c r="AX28" s="162">
        <v>8753</v>
      </c>
      <c r="AY28" s="286">
        <v>6027</v>
      </c>
      <c r="AZ28" s="162">
        <v>2705</v>
      </c>
      <c r="BA28" s="286">
        <v>3769</v>
      </c>
      <c r="BB28" s="162">
        <v>2232</v>
      </c>
      <c r="BC28" s="162">
        <v>122</v>
      </c>
      <c r="BD28" s="163" t="s">
        <v>37</v>
      </c>
      <c r="BE28" s="319">
        <v>8674</v>
      </c>
      <c r="BF28" s="163">
        <v>5163</v>
      </c>
      <c r="BG28" s="319">
        <v>3497</v>
      </c>
      <c r="BH28" s="163">
        <v>2</v>
      </c>
      <c r="BI28" s="319">
        <v>1</v>
      </c>
      <c r="BJ28" s="163">
        <v>2901</v>
      </c>
    </row>
    <row r="29" spans="1:62" x14ac:dyDescent="0.25">
      <c r="A29" s="79">
        <v>40</v>
      </c>
      <c r="B29" s="81">
        <v>12617</v>
      </c>
      <c r="C29" s="82">
        <v>11101</v>
      </c>
      <c r="D29" s="81">
        <v>1840</v>
      </c>
      <c r="E29" s="82">
        <v>685</v>
      </c>
      <c r="F29" s="81">
        <v>1148</v>
      </c>
      <c r="G29" s="81">
        <v>338</v>
      </c>
      <c r="H29"/>
      <c r="I29"/>
      <c r="J29"/>
      <c r="K29"/>
      <c r="L29"/>
      <c r="M29"/>
      <c r="N29"/>
      <c r="Q29" s="34">
        <v>40</v>
      </c>
      <c r="R29" s="36">
        <v>10503</v>
      </c>
      <c r="S29" s="37">
        <v>8424</v>
      </c>
      <c r="T29" s="36">
        <v>2076</v>
      </c>
      <c r="U29" s="37">
        <v>174</v>
      </c>
      <c r="V29" s="36">
        <v>829</v>
      </c>
      <c r="W29" s="36">
        <v>1963</v>
      </c>
      <c r="X29" s="433" t="s">
        <v>42</v>
      </c>
      <c r="Y29" s="32">
        <v>10735</v>
      </c>
      <c r="Z29" s="31">
        <v>5150</v>
      </c>
      <c r="AA29" s="32">
        <v>5585</v>
      </c>
      <c r="AB29" s="31">
        <v>458</v>
      </c>
      <c r="AC29" s="32">
        <v>2099</v>
      </c>
      <c r="AD29" s="31">
        <v>5243</v>
      </c>
      <c r="AG29" s="56">
        <v>40</v>
      </c>
      <c r="AH29" s="60">
        <v>10003</v>
      </c>
      <c r="AI29" s="59">
        <v>9528</v>
      </c>
      <c r="AJ29" s="60">
        <v>444</v>
      </c>
      <c r="AK29" s="59">
        <v>588</v>
      </c>
      <c r="AL29" s="60">
        <v>618</v>
      </c>
      <c r="AM29" s="60">
        <v>11</v>
      </c>
      <c r="AN29" s="55" t="s">
        <v>42</v>
      </c>
      <c r="AO29" s="54">
        <v>9053</v>
      </c>
      <c r="AP29" s="53">
        <v>6077</v>
      </c>
      <c r="AQ29" s="54">
        <v>2621</v>
      </c>
      <c r="AR29" s="53">
        <v>297</v>
      </c>
      <c r="AS29" s="54">
        <v>1070</v>
      </c>
      <c r="AT29" s="53">
        <v>144</v>
      </c>
      <c r="AU29"/>
      <c r="AW29" s="417">
        <v>40</v>
      </c>
      <c r="AX29" s="162">
        <v>8214</v>
      </c>
      <c r="AY29" s="286">
        <v>5289</v>
      </c>
      <c r="AZ29" s="162">
        <v>2914</v>
      </c>
      <c r="BA29" s="286">
        <v>1321</v>
      </c>
      <c r="BB29" s="162">
        <v>1069</v>
      </c>
      <c r="BC29" s="162">
        <v>1003</v>
      </c>
      <c r="BD29" s="420" t="s">
        <v>42</v>
      </c>
      <c r="BE29" s="312">
        <v>10790</v>
      </c>
      <c r="BF29" s="416">
        <v>3271</v>
      </c>
      <c r="BG29" s="312">
        <v>7345</v>
      </c>
      <c r="BH29" s="416">
        <v>817</v>
      </c>
      <c r="BI29" s="312">
        <v>2415</v>
      </c>
      <c r="BJ29" s="416">
        <v>2925</v>
      </c>
    </row>
    <row r="30" spans="1:62" x14ac:dyDescent="0.25">
      <c r="A30" s="79">
        <v>100</v>
      </c>
      <c r="B30" s="81">
        <v>12426</v>
      </c>
      <c r="C30" s="82">
        <v>11389</v>
      </c>
      <c r="D30" s="81">
        <v>1225</v>
      </c>
      <c r="E30" s="82">
        <v>637</v>
      </c>
      <c r="F30" s="81">
        <v>841</v>
      </c>
      <c r="G30" s="81">
        <v>191</v>
      </c>
      <c r="H30"/>
      <c r="I30"/>
      <c r="J30"/>
      <c r="K30"/>
      <c r="L30"/>
      <c r="M30"/>
      <c r="N30"/>
      <c r="Q30" s="34">
        <v>100</v>
      </c>
      <c r="R30" s="36">
        <v>10364</v>
      </c>
      <c r="S30" s="37">
        <v>8690</v>
      </c>
      <c r="T30" s="36">
        <v>1657</v>
      </c>
      <c r="U30" s="37">
        <v>643</v>
      </c>
      <c r="V30" s="36">
        <v>525</v>
      </c>
      <c r="W30" s="36">
        <v>1866</v>
      </c>
      <c r="X30" s="434" t="s">
        <v>43</v>
      </c>
      <c r="Y30" s="37">
        <v>10510</v>
      </c>
      <c r="Z30" s="36">
        <v>5560</v>
      </c>
      <c r="AA30" s="37">
        <v>4949</v>
      </c>
      <c r="AB30" s="36">
        <v>645</v>
      </c>
      <c r="AC30" s="37">
        <v>1791</v>
      </c>
      <c r="AD30" s="36">
        <v>5739</v>
      </c>
      <c r="AG30" s="56">
        <v>100</v>
      </c>
      <c r="AH30" s="60">
        <v>10018</v>
      </c>
      <c r="AI30" s="59">
        <v>9631</v>
      </c>
      <c r="AJ30" s="60">
        <v>370</v>
      </c>
      <c r="AK30" s="59">
        <v>324</v>
      </c>
      <c r="AL30" s="60">
        <v>511</v>
      </c>
      <c r="AM30" s="60">
        <v>19</v>
      </c>
      <c r="AN30" s="58" t="s">
        <v>43</v>
      </c>
      <c r="AO30" s="59">
        <v>8314</v>
      </c>
      <c r="AP30" s="60">
        <v>3596</v>
      </c>
      <c r="AQ30" s="59">
        <v>4493</v>
      </c>
      <c r="AR30" s="60">
        <v>1190</v>
      </c>
      <c r="AS30" s="59">
        <v>1775</v>
      </c>
      <c r="AT30" s="60">
        <v>456</v>
      </c>
      <c r="AU30"/>
      <c r="AW30" s="417">
        <v>100</v>
      </c>
      <c r="AX30" s="162">
        <v>8261</v>
      </c>
      <c r="AY30" s="286">
        <v>5517</v>
      </c>
      <c r="AZ30" s="162">
        <v>2733</v>
      </c>
      <c r="BA30" s="286">
        <v>1050</v>
      </c>
      <c r="BB30" s="162">
        <v>647</v>
      </c>
      <c r="BC30" s="162">
        <v>1208</v>
      </c>
      <c r="BD30" s="421" t="s">
        <v>43</v>
      </c>
      <c r="BE30" s="286">
        <v>10758</v>
      </c>
      <c r="BF30" s="162">
        <v>3193</v>
      </c>
      <c r="BG30" s="286">
        <v>7398</v>
      </c>
      <c r="BH30" s="162">
        <v>661</v>
      </c>
      <c r="BI30" s="286">
        <v>2152</v>
      </c>
      <c r="BJ30" s="162">
        <v>2532</v>
      </c>
    </row>
    <row r="31" spans="1:62" ht="15.75" thickBot="1" x14ac:dyDescent="0.3">
      <c r="A31" s="79">
        <v>120</v>
      </c>
      <c r="B31" s="81">
        <v>12136</v>
      </c>
      <c r="C31" s="82">
        <v>11064</v>
      </c>
      <c r="D31" s="81">
        <v>1300</v>
      </c>
      <c r="E31" s="82">
        <v>598</v>
      </c>
      <c r="F31" s="81">
        <v>912</v>
      </c>
      <c r="G31" s="81">
        <v>191</v>
      </c>
      <c r="H31"/>
      <c r="I31"/>
      <c r="J31"/>
      <c r="K31"/>
      <c r="L31"/>
      <c r="M31"/>
      <c r="N31"/>
      <c r="Q31" s="34">
        <v>120</v>
      </c>
      <c r="R31" s="36">
        <v>10555</v>
      </c>
      <c r="S31" s="37">
        <v>8684</v>
      </c>
      <c r="T31" s="36">
        <v>1865</v>
      </c>
      <c r="U31" s="37">
        <v>748</v>
      </c>
      <c r="V31" s="36">
        <v>602</v>
      </c>
      <c r="W31" s="36">
        <v>1945</v>
      </c>
      <c r="X31" s="435" t="s">
        <v>44</v>
      </c>
      <c r="Y31" s="39">
        <v>10440</v>
      </c>
      <c r="Z31" s="38">
        <v>5623</v>
      </c>
      <c r="AA31" s="39">
        <v>4815</v>
      </c>
      <c r="AB31" s="38">
        <v>654</v>
      </c>
      <c r="AC31" s="39">
        <v>2262</v>
      </c>
      <c r="AD31" s="38">
        <v>4859</v>
      </c>
      <c r="AG31" s="56">
        <v>120</v>
      </c>
      <c r="AH31" s="60">
        <v>9975</v>
      </c>
      <c r="AI31" s="59">
        <v>9458</v>
      </c>
      <c r="AJ31" s="60">
        <v>492</v>
      </c>
      <c r="AK31" s="59">
        <v>460</v>
      </c>
      <c r="AL31" s="60">
        <v>510</v>
      </c>
      <c r="AM31" s="60">
        <v>66</v>
      </c>
      <c r="AN31" s="61" t="s">
        <v>44</v>
      </c>
      <c r="AO31" s="62">
        <v>8252</v>
      </c>
      <c r="AP31" s="63">
        <v>2327</v>
      </c>
      <c r="AQ31" s="62">
        <v>5736</v>
      </c>
      <c r="AR31" s="63">
        <v>2508</v>
      </c>
      <c r="AS31" s="62">
        <v>2741</v>
      </c>
      <c r="AT31" s="63">
        <v>252</v>
      </c>
      <c r="AU31"/>
      <c r="AW31" s="417">
        <v>120</v>
      </c>
      <c r="AX31" s="162">
        <v>8269</v>
      </c>
      <c r="AY31" s="286">
        <v>5251</v>
      </c>
      <c r="AZ31" s="162">
        <v>3002</v>
      </c>
      <c r="BA31" s="286">
        <v>1824</v>
      </c>
      <c r="BB31" s="162">
        <v>1501</v>
      </c>
      <c r="BC31" s="162">
        <v>605</v>
      </c>
      <c r="BD31" s="422" t="s">
        <v>44</v>
      </c>
      <c r="BE31" s="319">
        <v>10798</v>
      </c>
      <c r="BF31" s="163">
        <v>3157</v>
      </c>
      <c r="BG31" s="319">
        <v>7451</v>
      </c>
      <c r="BH31" s="163">
        <v>642</v>
      </c>
      <c r="BI31" s="319">
        <v>1748</v>
      </c>
      <c r="BJ31" s="163">
        <v>2835</v>
      </c>
    </row>
    <row r="32" spans="1:62" ht="15.75" thickBot="1" x14ac:dyDescent="0.3">
      <c r="A32" s="85">
        <v>400</v>
      </c>
      <c r="B32" s="83">
        <v>12326</v>
      </c>
      <c r="C32" s="84">
        <v>11332</v>
      </c>
      <c r="D32" s="83">
        <v>1614</v>
      </c>
      <c r="E32" s="84">
        <v>1007</v>
      </c>
      <c r="F32" s="83">
        <v>35</v>
      </c>
      <c r="G32" s="83">
        <v>77</v>
      </c>
      <c r="H32"/>
      <c r="I32"/>
      <c r="J32"/>
      <c r="K32"/>
      <c r="L32"/>
      <c r="M32"/>
      <c r="N32"/>
      <c r="Q32" s="40">
        <v>400</v>
      </c>
      <c r="R32" s="38">
        <v>10472</v>
      </c>
      <c r="S32" s="39">
        <v>8469</v>
      </c>
      <c r="T32" s="38">
        <v>1992</v>
      </c>
      <c r="U32" s="39">
        <v>666</v>
      </c>
      <c r="V32" s="38">
        <v>611</v>
      </c>
      <c r="W32" s="38">
        <v>2164</v>
      </c>
      <c r="X32"/>
      <c r="Y32"/>
      <c r="Z32"/>
      <c r="AA32"/>
      <c r="AB32"/>
      <c r="AC32"/>
      <c r="AD32"/>
      <c r="AG32" s="64">
        <v>400</v>
      </c>
      <c r="AH32" s="63">
        <v>9993</v>
      </c>
      <c r="AI32" s="62">
        <v>9448</v>
      </c>
      <c r="AJ32" s="63">
        <v>531</v>
      </c>
      <c r="AK32" s="62">
        <v>336</v>
      </c>
      <c r="AL32" s="63">
        <v>623</v>
      </c>
      <c r="AM32" s="63">
        <v>18</v>
      </c>
      <c r="AN32"/>
      <c r="AO32"/>
      <c r="AP32"/>
      <c r="AQ32"/>
      <c r="AR32"/>
      <c r="AS32"/>
      <c r="AT32"/>
      <c r="AU32"/>
      <c r="AW32" s="423">
        <v>400</v>
      </c>
      <c r="AX32" s="163">
        <v>8023</v>
      </c>
      <c r="AY32" s="319">
        <v>5141</v>
      </c>
      <c r="AZ32" s="163">
        <v>2876</v>
      </c>
      <c r="BA32" s="319">
        <v>2188</v>
      </c>
      <c r="BB32" s="163">
        <v>1875</v>
      </c>
      <c r="BC32" s="163">
        <v>347</v>
      </c>
    </row>
    <row r="33" spans="1:47" ht="15.75" thickBo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</row>
    <row r="34" spans="1:47" ht="15.75" thickBot="1" x14ac:dyDescent="0.3">
      <c r="A34" s="566" t="s">
        <v>123</v>
      </c>
      <c r="B34" s="567"/>
      <c r="C34" s="567"/>
      <c r="D34" s="567"/>
      <c r="E34" s="567"/>
      <c r="F34" s="567"/>
      <c r="G34" s="568"/>
      <c r="H34"/>
      <c r="I34" s="566" t="s">
        <v>124</v>
      </c>
      <c r="J34" s="567"/>
      <c r="K34" s="567"/>
      <c r="L34" s="567"/>
      <c r="M34" s="567"/>
      <c r="N34" s="567"/>
      <c r="O34" s="568"/>
      <c r="Q34" s="547" t="s">
        <v>123</v>
      </c>
      <c r="R34" s="548"/>
      <c r="S34" s="548"/>
      <c r="T34" s="548"/>
      <c r="U34" s="548"/>
      <c r="V34" s="548"/>
      <c r="W34" s="549"/>
      <c r="X34"/>
      <c r="Y34" s="547" t="s">
        <v>124</v>
      </c>
      <c r="Z34" s="548"/>
      <c r="AA34" s="548"/>
      <c r="AB34" s="548"/>
      <c r="AC34" s="548"/>
      <c r="AD34" s="548"/>
      <c r="AE34" s="549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</row>
    <row r="35" spans="1:47" ht="15.75" thickBot="1" x14ac:dyDescent="0.3">
      <c r="A35" s="561" t="s">
        <v>48</v>
      </c>
      <c r="B35" s="563" t="s">
        <v>31</v>
      </c>
      <c r="C35" s="564"/>
      <c r="D35" s="564"/>
      <c r="E35" s="564"/>
      <c r="F35" s="564"/>
      <c r="G35" s="565"/>
      <c r="H35"/>
      <c r="I35" s="561" t="s">
        <v>48</v>
      </c>
      <c r="J35" s="563" t="s">
        <v>31</v>
      </c>
      <c r="K35" s="564"/>
      <c r="L35" s="564"/>
      <c r="M35" s="564"/>
      <c r="N35" s="564"/>
      <c r="O35" s="565"/>
      <c r="Q35" s="550" t="s">
        <v>48</v>
      </c>
      <c r="R35" s="552" t="s">
        <v>31</v>
      </c>
      <c r="S35" s="553"/>
      <c r="T35" s="553"/>
      <c r="U35" s="553"/>
      <c r="V35" s="553"/>
      <c r="W35" s="554"/>
      <c r="X35"/>
      <c r="Y35" s="550" t="s">
        <v>48</v>
      </c>
      <c r="Z35" s="552" t="s">
        <v>31</v>
      </c>
      <c r="AA35" s="553"/>
      <c r="AB35" s="553"/>
      <c r="AC35" s="553"/>
      <c r="AD35" s="553"/>
      <c r="AE35" s="554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</row>
    <row r="36" spans="1:47" ht="15.75" thickBot="1" x14ac:dyDescent="0.3">
      <c r="A36" s="562"/>
      <c r="B36" s="426" t="s">
        <v>32</v>
      </c>
      <c r="C36" s="427" t="s">
        <v>33</v>
      </c>
      <c r="D36" s="428" t="s">
        <v>34</v>
      </c>
      <c r="E36" s="427" t="s">
        <v>35</v>
      </c>
      <c r="F36" s="428" t="s">
        <v>36</v>
      </c>
      <c r="G36" s="427" t="s">
        <v>37</v>
      </c>
      <c r="H36"/>
      <c r="I36" s="562"/>
      <c r="J36" s="426" t="s">
        <v>32</v>
      </c>
      <c r="K36" s="427" t="s">
        <v>33</v>
      </c>
      <c r="L36" s="428" t="s">
        <v>34</v>
      </c>
      <c r="M36" s="427" t="s">
        <v>35</v>
      </c>
      <c r="N36" s="428" t="s">
        <v>36</v>
      </c>
      <c r="O36" s="427" t="s">
        <v>37</v>
      </c>
      <c r="Q36" s="551"/>
      <c r="R36" s="23" t="s">
        <v>32</v>
      </c>
      <c r="S36" s="27" t="s">
        <v>33</v>
      </c>
      <c r="T36" s="24" t="s">
        <v>34</v>
      </c>
      <c r="U36" s="27" t="s">
        <v>35</v>
      </c>
      <c r="V36" s="24" t="s">
        <v>36</v>
      </c>
      <c r="W36" s="27" t="s">
        <v>37</v>
      </c>
      <c r="X36"/>
      <c r="Y36" s="551"/>
      <c r="Z36" s="23" t="s">
        <v>32</v>
      </c>
      <c r="AA36" s="27" t="s">
        <v>33</v>
      </c>
      <c r="AB36" s="24" t="s">
        <v>34</v>
      </c>
      <c r="AC36" s="27" t="s">
        <v>35</v>
      </c>
      <c r="AD36" s="24" t="s">
        <v>36</v>
      </c>
      <c r="AE36" s="27" t="s">
        <v>37</v>
      </c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</row>
    <row r="37" spans="1:47" x14ac:dyDescent="0.25">
      <c r="A37" s="164" t="s">
        <v>46</v>
      </c>
      <c r="B37" s="429">
        <v>13133</v>
      </c>
      <c r="C37" s="165">
        <v>12635</v>
      </c>
      <c r="D37" s="429">
        <v>215</v>
      </c>
      <c r="E37" s="165">
        <v>3</v>
      </c>
      <c r="F37" s="429">
        <v>2</v>
      </c>
      <c r="G37" s="165">
        <v>1514</v>
      </c>
      <c r="H37"/>
      <c r="I37" s="164" t="s">
        <v>46</v>
      </c>
      <c r="J37" s="429">
        <v>14302</v>
      </c>
      <c r="K37" s="165">
        <v>14106</v>
      </c>
      <c r="L37" s="429">
        <v>250</v>
      </c>
      <c r="M37" s="165">
        <v>0</v>
      </c>
      <c r="N37" s="429">
        <v>0</v>
      </c>
      <c r="O37" s="165">
        <v>1179</v>
      </c>
      <c r="Q37" s="33" t="s">
        <v>46</v>
      </c>
      <c r="R37" s="32">
        <v>10020</v>
      </c>
      <c r="S37" s="31">
        <v>9999</v>
      </c>
      <c r="T37" s="32">
        <v>21</v>
      </c>
      <c r="U37" s="31">
        <v>0</v>
      </c>
      <c r="V37" s="32">
        <v>0</v>
      </c>
      <c r="W37" s="31">
        <v>442</v>
      </c>
      <c r="X37"/>
      <c r="Y37" s="33" t="s">
        <v>46</v>
      </c>
      <c r="Z37" s="32">
        <v>9852</v>
      </c>
      <c r="AA37" s="31">
        <v>9835</v>
      </c>
      <c r="AB37" s="32">
        <v>17</v>
      </c>
      <c r="AC37" s="31">
        <v>1</v>
      </c>
      <c r="AD37" s="32">
        <v>3</v>
      </c>
      <c r="AE37" s="31">
        <v>334</v>
      </c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</row>
    <row r="38" spans="1:47" x14ac:dyDescent="0.25">
      <c r="A38" s="171" t="s">
        <v>47</v>
      </c>
      <c r="B38" s="327">
        <v>10330</v>
      </c>
      <c r="C38" s="171">
        <v>10235</v>
      </c>
      <c r="D38" s="327">
        <v>25</v>
      </c>
      <c r="E38" s="171">
        <v>487</v>
      </c>
      <c r="F38" s="327">
        <v>3</v>
      </c>
      <c r="G38" s="171">
        <v>61</v>
      </c>
      <c r="H38"/>
      <c r="I38" s="171" t="s">
        <v>47</v>
      </c>
      <c r="J38" s="327">
        <v>10605</v>
      </c>
      <c r="K38" s="171">
        <v>10493</v>
      </c>
      <c r="L38" s="327">
        <v>104</v>
      </c>
      <c r="M38" s="171">
        <v>1163</v>
      </c>
      <c r="N38" s="327">
        <v>4</v>
      </c>
      <c r="O38" s="171">
        <v>45</v>
      </c>
      <c r="Q38" s="36" t="s">
        <v>47</v>
      </c>
      <c r="R38" s="37">
        <v>10117</v>
      </c>
      <c r="S38" s="36">
        <v>10021</v>
      </c>
      <c r="T38" s="37">
        <v>2</v>
      </c>
      <c r="U38" s="36">
        <v>1202</v>
      </c>
      <c r="V38" s="37">
        <v>15</v>
      </c>
      <c r="W38" s="36">
        <v>306</v>
      </c>
      <c r="X38"/>
      <c r="Y38" s="36" t="s">
        <v>47</v>
      </c>
      <c r="Z38" s="37">
        <v>9921</v>
      </c>
      <c r="AA38" s="36">
        <v>9805</v>
      </c>
      <c r="AB38" s="37">
        <v>7</v>
      </c>
      <c r="AC38" s="36">
        <v>1027</v>
      </c>
      <c r="AD38" s="37">
        <v>19</v>
      </c>
      <c r="AE38" s="36">
        <v>302</v>
      </c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</row>
    <row r="39" spans="1:47" ht="15.75" thickBot="1" x14ac:dyDescent="0.3">
      <c r="A39" s="177" t="s">
        <v>37</v>
      </c>
      <c r="B39" s="333">
        <v>10404</v>
      </c>
      <c r="C39" s="177">
        <v>10307</v>
      </c>
      <c r="D39" s="333">
        <v>33</v>
      </c>
      <c r="E39" s="177">
        <v>0</v>
      </c>
      <c r="F39" s="333">
        <v>0</v>
      </c>
      <c r="G39" s="177">
        <v>129</v>
      </c>
      <c r="H39"/>
      <c r="I39" s="177" t="s">
        <v>37</v>
      </c>
      <c r="J39" s="333">
        <v>10517</v>
      </c>
      <c r="K39" s="177">
        <v>9409</v>
      </c>
      <c r="L39" s="333">
        <v>1080</v>
      </c>
      <c r="M39" s="177">
        <v>0</v>
      </c>
      <c r="N39" s="333">
        <v>2</v>
      </c>
      <c r="O39" s="177">
        <v>1378</v>
      </c>
      <c r="Q39" s="38" t="s">
        <v>37</v>
      </c>
      <c r="R39" s="39">
        <v>10521</v>
      </c>
      <c r="S39" s="38">
        <v>3784</v>
      </c>
      <c r="T39" s="39">
        <v>6737</v>
      </c>
      <c r="U39" s="38">
        <v>0</v>
      </c>
      <c r="V39" s="39">
        <v>2</v>
      </c>
      <c r="W39" s="38">
        <v>8286</v>
      </c>
      <c r="X39"/>
      <c r="Y39" s="38" t="s">
        <v>37</v>
      </c>
      <c r="Z39" s="39">
        <v>11166</v>
      </c>
      <c r="AA39" s="38">
        <v>6668</v>
      </c>
      <c r="AB39" s="39">
        <v>4497</v>
      </c>
      <c r="AC39" s="38">
        <v>0</v>
      </c>
      <c r="AD39" s="39">
        <v>0</v>
      </c>
      <c r="AE39" s="38">
        <v>5880</v>
      </c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</row>
    <row r="40" spans="1:47" x14ac:dyDescent="0.25">
      <c r="A40" s="430" t="s">
        <v>117</v>
      </c>
      <c r="B40" s="429">
        <v>10319</v>
      </c>
      <c r="C40" s="165">
        <v>9629</v>
      </c>
      <c r="D40" s="429">
        <v>647</v>
      </c>
      <c r="E40" s="165">
        <v>230</v>
      </c>
      <c r="F40" s="429">
        <v>334</v>
      </c>
      <c r="G40" s="165">
        <v>270</v>
      </c>
      <c r="H40"/>
      <c r="I40" s="430" t="s">
        <v>117</v>
      </c>
      <c r="J40" s="429">
        <v>10538</v>
      </c>
      <c r="K40" s="165">
        <v>9592</v>
      </c>
      <c r="L40" s="429">
        <v>932</v>
      </c>
      <c r="M40" s="165">
        <v>551</v>
      </c>
      <c r="N40" s="429">
        <v>636</v>
      </c>
      <c r="O40" s="165">
        <v>128</v>
      </c>
      <c r="Q40" s="433" t="s">
        <v>117</v>
      </c>
      <c r="R40" s="32">
        <v>10034</v>
      </c>
      <c r="S40" s="31">
        <v>9108</v>
      </c>
      <c r="T40" s="32">
        <v>920</v>
      </c>
      <c r="U40" s="31">
        <v>390</v>
      </c>
      <c r="V40" s="32">
        <v>436</v>
      </c>
      <c r="W40" s="31">
        <v>1099</v>
      </c>
      <c r="X40"/>
      <c r="Y40" s="433" t="s">
        <v>117</v>
      </c>
      <c r="Z40" s="32">
        <v>9909</v>
      </c>
      <c r="AA40" s="31">
        <v>9130</v>
      </c>
      <c r="AB40" s="32">
        <v>771</v>
      </c>
      <c r="AC40" s="31">
        <v>138</v>
      </c>
      <c r="AD40" s="32">
        <v>483</v>
      </c>
      <c r="AE40" s="31">
        <v>718</v>
      </c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</row>
    <row r="41" spans="1:47" x14ac:dyDescent="0.25">
      <c r="A41" s="431" t="s">
        <v>42</v>
      </c>
      <c r="B41" s="327">
        <v>13026</v>
      </c>
      <c r="C41" s="171">
        <v>11641</v>
      </c>
      <c r="D41" s="327">
        <v>982</v>
      </c>
      <c r="E41" s="171">
        <v>1940</v>
      </c>
      <c r="F41" s="327">
        <v>777</v>
      </c>
      <c r="G41" s="171">
        <v>300</v>
      </c>
      <c r="H41"/>
      <c r="I41" s="431" t="s">
        <v>42</v>
      </c>
      <c r="J41" s="327">
        <v>13826</v>
      </c>
      <c r="K41" s="171">
        <v>12498</v>
      </c>
      <c r="L41" s="327">
        <v>1299</v>
      </c>
      <c r="M41" s="171">
        <v>1352</v>
      </c>
      <c r="N41" s="327">
        <v>907</v>
      </c>
      <c r="O41" s="171">
        <v>399</v>
      </c>
      <c r="Q41" s="434" t="s">
        <v>42</v>
      </c>
      <c r="R41" s="455"/>
      <c r="S41" s="456"/>
      <c r="T41" s="455"/>
      <c r="U41" s="456"/>
      <c r="V41" s="455"/>
      <c r="W41" s="456"/>
      <c r="X41"/>
      <c r="Y41" s="434" t="s">
        <v>42</v>
      </c>
      <c r="Z41" s="37">
        <v>11298</v>
      </c>
      <c r="AA41" s="36">
        <v>6539</v>
      </c>
      <c r="AB41" s="37">
        <v>4759</v>
      </c>
      <c r="AC41" s="36">
        <v>1214</v>
      </c>
      <c r="AD41" s="37">
        <v>2286</v>
      </c>
      <c r="AE41" s="36">
        <v>3525</v>
      </c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</row>
    <row r="42" spans="1:47" x14ac:dyDescent="0.25">
      <c r="A42" s="431" t="s">
        <v>43</v>
      </c>
      <c r="B42" s="327">
        <v>12823</v>
      </c>
      <c r="C42" s="171">
        <v>9408</v>
      </c>
      <c r="D42" s="327">
        <v>2962</v>
      </c>
      <c r="E42" s="171">
        <v>1686</v>
      </c>
      <c r="F42" s="327">
        <v>984</v>
      </c>
      <c r="G42" s="171">
        <v>1759</v>
      </c>
      <c r="H42"/>
      <c r="I42" s="431" t="s">
        <v>43</v>
      </c>
      <c r="J42" s="327">
        <v>12635</v>
      </c>
      <c r="K42" s="171">
        <v>9339</v>
      </c>
      <c r="L42" s="327">
        <v>3214</v>
      </c>
      <c r="M42" s="171">
        <v>2807</v>
      </c>
      <c r="N42" s="327">
        <v>1733</v>
      </c>
      <c r="O42" s="171">
        <v>675</v>
      </c>
      <c r="Q42" s="434" t="s">
        <v>43</v>
      </c>
      <c r="R42" s="37">
        <v>10639</v>
      </c>
      <c r="S42" s="36">
        <v>4434</v>
      </c>
      <c r="T42" s="37">
        <v>6205</v>
      </c>
      <c r="U42" s="36">
        <v>998</v>
      </c>
      <c r="V42" s="37">
        <v>3515</v>
      </c>
      <c r="W42" s="36">
        <v>4211</v>
      </c>
      <c r="X42"/>
      <c r="Y42" s="434" t="s">
        <v>43</v>
      </c>
      <c r="Z42" s="37">
        <v>10510</v>
      </c>
      <c r="AA42" s="36">
        <v>4019</v>
      </c>
      <c r="AB42" s="37">
        <v>6491</v>
      </c>
      <c r="AC42" s="36">
        <v>642</v>
      </c>
      <c r="AD42" s="37">
        <v>2213</v>
      </c>
      <c r="AE42" s="36">
        <v>5339</v>
      </c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</row>
    <row r="43" spans="1:47" ht="15.75" thickBot="1" x14ac:dyDescent="0.3">
      <c r="A43" s="432" t="s">
        <v>44</v>
      </c>
      <c r="B43" s="333">
        <v>12986</v>
      </c>
      <c r="C43" s="177">
        <v>8180</v>
      </c>
      <c r="D43" s="333">
        <v>4152</v>
      </c>
      <c r="E43" s="177">
        <v>3366</v>
      </c>
      <c r="F43" s="333">
        <v>1229</v>
      </c>
      <c r="G43" s="177">
        <v>1593</v>
      </c>
      <c r="H43"/>
      <c r="I43" s="432" t="s">
        <v>44</v>
      </c>
      <c r="J43" s="333">
        <v>16116</v>
      </c>
      <c r="K43" s="177">
        <v>9247</v>
      </c>
      <c r="L43" s="333">
        <v>6512</v>
      </c>
      <c r="M43" s="177">
        <v>5324</v>
      </c>
      <c r="N43" s="333">
        <v>2471</v>
      </c>
      <c r="O43" s="177">
        <v>750</v>
      </c>
      <c r="Q43" s="435" t="s">
        <v>44</v>
      </c>
      <c r="R43" s="39">
        <v>10468</v>
      </c>
      <c r="S43" s="38">
        <v>3789</v>
      </c>
      <c r="T43" s="39">
        <v>6679</v>
      </c>
      <c r="U43" s="38">
        <v>730</v>
      </c>
      <c r="V43" s="39">
        <v>3856</v>
      </c>
      <c r="W43" s="38">
        <v>3882</v>
      </c>
      <c r="X43"/>
      <c r="Y43" s="435" t="s">
        <v>44</v>
      </c>
      <c r="Z43" s="39">
        <v>10428</v>
      </c>
      <c r="AA43" s="38">
        <v>3783</v>
      </c>
      <c r="AB43" s="39">
        <v>6644</v>
      </c>
      <c r="AC43" s="38">
        <v>693</v>
      </c>
      <c r="AD43" s="39">
        <v>2949</v>
      </c>
      <c r="AE43" s="38">
        <v>4930</v>
      </c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</row>
    <row r="44" spans="1:47" ht="15.75" thickBo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</row>
    <row r="45" spans="1:47" ht="15.75" thickBot="1" x14ac:dyDescent="0.3">
      <c r="A45" s="566" t="s">
        <v>125</v>
      </c>
      <c r="B45" s="567"/>
      <c r="C45" s="567"/>
      <c r="D45" s="567"/>
      <c r="E45" s="567"/>
      <c r="F45" s="567"/>
      <c r="G45" s="568"/>
      <c r="H45"/>
      <c r="I45"/>
      <c r="J45"/>
      <c r="K45"/>
      <c r="L45"/>
      <c r="M45"/>
      <c r="N45"/>
      <c r="Q45" s="198"/>
      <c r="R45" s="198"/>
      <c r="S45" s="198"/>
      <c r="T45" s="198"/>
      <c r="U45" s="198"/>
      <c r="V45" s="198"/>
      <c r="W45" s="198"/>
      <c r="X45"/>
      <c r="Y45"/>
      <c r="Z45"/>
      <c r="AA45"/>
      <c r="AB45"/>
      <c r="AC45"/>
      <c r="AD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</row>
    <row r="46" spans="1:47" ht="15.75" thickBot="1" x14ac:dyDescent="0.3">
      <c r="A46" s="424" t="s">
        <v>48</v>
      </c>
      <c r="B46" s="426" t="s">
        <v>31</v>
      </c>
      <c r="C46" s="428"/>
      <c r="D46" s="428"/>
      <c r="E46" s="428"/>
      <c r="F46" s="428"/>
      <c r="G46" s="436"/>
      <c r="H46"/>
      <c r="I46"/>
      <c r="J46"/>
      <c r="K46"/>
      <c r="L46"/>
      <c r="M46"/>
      <c r="N46"/>
      <c r="Q46" s="454"/>
      <c r="R46" s="454"/>
      <c r="S46" s="454"/>
      <c r="T46" s="454"/>
      <c r="U46" s="454"/>
      <c r="V46" s="454"/>
      <c r="W46" s="454"/>
      <c r="X46"/>
      <c r="Y46"/>
      <c r="Z46"/>
      <c r="AA46"/>
      <c r="AB46"/>
      <c r="AC46"/>
      <c r="AD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</row>
    <row r="47" spans="1:47" ht="15.75" thickBot="1" x14ac:dyDescent="0.3">
      <c r="A47" s="425"/>
      <c r="B47" s="426" t="s">
        <v>32</v>
      </c>
      <c r="C47" s="427" t="s">
        <v>33</v>
      </c>
      <c r="D47" s="428" t="s">
        <v>34</v>
      </c>
      <c r="E47" s="427" t="s">
        <v>35</v>
      </c>
      <c r="F47" s="428" t="s">
        <v>36</v>
      </c>
      <c r="G47" s="427" t="s">
        <v>37</v>
      </c>
      <c r="H47"/>
      <c r="I47"/>
      <c r="J47"/>
      <c r="K47"/>
      <c r="L47"/>
      <c r="M47"/>
      <c r="N47"/>
      <c r="Q47" s="454"/>
      <c r="R47" s="454"/>
      <c r="S47" s="454"/>
      <c r="T47" s="454"/>
      <c r="U47" s="454"/>
      <c r="V47" s="454"/>
      <c r="W47" s="454"/>
      <c r="X47"/>
      <c r="Y47"/>
      <c r="Z47"/>
      <c r="AA47"/>
      <c r="AB47"/>
      <c r="AC47"/>
      <c r="AD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</row>
    <row r="48" spans="1:47" x14ac:dyDescent="0.25">
      <c r="A48" s="164" t="s">
        <v>46</v>
      </c>
      <c r="B48" s="429">
        <v>9653</v>
      </c>
      <c r="C48" s="165">
        <v>9596</v>
      </c>
      <c r="D48" s="429">
        <v>56</v>
      </c>
      <c r="E48" s="165">
        <v>0</v>
      </c>
      <c r="F48" s="429">
        <v>2</v>
      </c>
      <c r="G48" s="165">
        <v>60</v>
      </c>
      <c r="H48"/>
      <c r="I48"/>
      <c r="J48"/>
      <c r="K48"/>
      <c r="L48"/>
      <c r="M48"/>
      <c r="N48"/>
      <c r="Q48" s="454"/>
      <c r="R48"/>
      <c r="S48"/>
      <c r="T48"/>
      <c r="U48"/>
      <c r="V48"/>
      <c r="W48"/>
      <c r="X48"/>
      <c r="Y48"/>
      <c r="Z48"/>
      <c r="AA48"/>
      <c r="AB48"/>
      <c r="AC48"/>
      <c r="AD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</row>
    <row r="49" spans="1:17" customFormat="1" x14ac:dyDescent="0.25">
      <c r="A49" s="171" t="s">
        <v>47</v>
      </c>
      <c r="B49" s="327">
        <v>9403</v>
      </c>
      <c r="C49" s="171">
        <v>9360</v>
      </c>
      <c r="D49" s="327">
        <v>35</v>
      </c>
      <c r="E49" s="171">
        <v>1090</v>
      </c>
      <c r="F49" s="327">
        <v>26</v>
      </c>
      <c r="G49" s="171">
        <v>13</v>
      </c>
    </row>
    <row r="50" spans="1:17" customFormat="1" ht="15.75" thickBot="1" x14ac:dyDescent="0.3">
      <c r="A50" s="177" t="s">
        <v>37</v>
      </c>
      <c r="B50" s="333">
        <v>9373</v>
      </c>
      <c r="C50" s="177">
        <v>8947</v>
      </c>
      <c r="D50" s="333">
        <v>426</v>
      </c>
      <c r="E50" s="177">
        <v>0</v>
      </c>
      <c r="F50" s="333">
        <v>1</v>
      </c>
      <c r="G50" s="177">
        <v>490</v>
      </c>
    </row>
    <row r="51" spans="1:17" customFormat="1" x14ac:dyDescent="0.25">
      <c r="A51" s="430" t="s">
        <v>117</v>
      </c>
      <c r="B51" s="429">
        <v>9552</v>
      </c>
      <c r="C51" s="165">
        <v>9415</v>
      </c>
      <c r="D51" s="429">
        <v>136</v>
      </c>
      <c r="E51" s="165">
        <v>420</v>
      </c>
      <c r="F51" s="429">
        <v>112</v>
      </c>
      <c r="G51" s="165">
        <v>25</v>
      </c>
      <c r="Q51" s="293"/>
    </row>
    <row r="52" spans="1:17" customFormat="1" x14ac:dyDescent="0.25">
      <c r="A52" s="431" t="s">
        <v>42</v>
      </c>
      <c r="B52" s="327">
        <v>9448</v>
      </c>
      <c r="C52" s="171">
        <v>9073</v>
      </c>
      <c r="D52" s="327">
        <v>374</v>
      </c>
      <c r="E52" s="171">
        <v>920</v>
      </c>
      <c r="F52" s="327">
        <v>334</v>
      </c>
      <c r="G52" s="171">
        <v>63</v>
      </c>
      <c r="Q52" s="293"/>
    </row>
    <row r="53" spans="1:17" customFormat="1" x14ac:dyDescent="0.25">
      <c r="A53" s="431" t="s">
        <v>43</v>
      </c>
      <c r="B53" s="327">
        <v>8764</v>
      </c>
      <c r="C53" s="171">
        <v>7850</v>
      </c>
      <c r="D53" s="327">
        <v>924</v>
      </c>
      <c r="E53" s="171">
        <v>899</v>
      </c>
      <c r="F53" s="327">
        <v>710</v>
      </c>
      <c r="G53" s="171">
        <v>311</v>
      </c>
      <c r="Q53" s="293"/>
    </row>
    <row r="54" spans="1:17" customFormat="1" ht="15.75" thickBot="1" x14ac:dyDescent="0.3">
      <c r="A54" s="432" t="s">
        <v>44</v>
      </c>
      <c r="B54" s="333">
        <v>7117</v>
      </c>
      <c r="C54" s="177">
        <v>5692</v>
      </c>
      <c r="D54" s="333">
        <v>1443</v>
      </c>
      <c r="E54" s="177">
        <v>1365</v>
      </c>
      <c r="F54" s="333">
        <v>1047</v>
      </c>
      <c r="G54" s="177">
        <v>363</v>
      </c>
      <c r="Q54" s="293"/>
    </row>
    <row r="55" spans="1:17" customFormat="1" x14ac:dyDescent="0.25"/>
    <row r="56" spans="1:17" customFormat="1" x14ac:dyDescent="0.25"/>
    <row r="57" spans="1:17" customFormat="1" x14ac:dyDescent="0.25"/>
    <row r="58" spans="1:17" customFormat="1" x14ac:dyDescent="0.25"/>
    <row r="59" spans="1:17" customFormat="1" x14ac:dyDescent="0.25"/>
    <row r="60" spans="1:17" customFormat="1" x14ac:dyDescent="0.25"/>
    <row r="61" spans="1:17" customFormat="1" x14ac:dyDescent="0.25"/>
    <row r="62" spans="1:17" customFormat="1" x14ac:dyDescent="0.25"/>
    <row r="63" spans="1:17" customFormat="1" x14ac:dyDescent="0.25"/>
    <row r="64" spans="1:17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</sheetData>
  <mergeCells count="85">
    <mergeCell ref="A1:G1"/>
    <mergeCell ref="H1:N1"/>
    <mergeCell ref="A2:A3"/>
    <mergeCell ref="B2:G2"/>
    <mergeCell ref="H2:H3"/>
    <mergeCell ref="I2:N2"/>
    <mergeCell ref="A12:G12"/>
    <mergeCell ref="H12:N12"/>
    <mergeCell ref="A13:A14"/>
    <mergeCell ref="B13:G13"/>
    <mergeCell ref="H13:H14"/>
    <mergeCell ref="I13:N13"/>
    <mergeCell ref="A23:G23"/>
    <mergeCell ref="H23:N23"/>
    <mergeCell ref="A24:A25"/>
    <mergeCell ref="B24:G24"/>
    <mergeCell ref="H24:H25"/>
    <mergeCell ref="I24:N24"/>
    <mergeCell ref="Q1:W1"/>
    <mergeCell ref="X1:AD1"/>
    <mergeCell ref="Q2:Q3"/>
    <mergeCell ref="R2:W2"/>
    <mergeCell ref="X2:X3"/>
    <mergeCell ref="Y2:AD2"/>
    <mergeCell ref="Q12:W12"/>
    <mergeCell ref="X12:AD12"/>
    <mergeCell ref="Q13:Q14"/>
    <mergeCell ref="R13:W13"/>
    <mergeCell ref="X13:X14"/>
    <mergeCell ref="Y13:AD13"/>
    <mergeCell ref="AG1:AM1"/>
    <mergeCell ref="AN1:AT1"/>
    <mergeCell ref="AG2:AG3"/>
    <mergeCell ref="AH2:AM2"/>
    <mergeCell ref="AN2:AN3"/>
    <mergeCell ref="AO2:AT2"/>
    <mergeCell ref="AG12:AM12"/>
    <mergeCell ref="AN12:AT12"/>
    <mergeCell ref="AG13:AG14"/>
    <mergeCell ref="AH13:AM13"/>
    <mergeCell ref="AN13:AN14"/>
    <mergeCell ref="AO13:AT13"/>
    <mergeCell ref="AG23:AM23"/>
    <mergeCell ref="AN23:AT23"/>
    <mergeCell ref="AG24:AG25"/>
    <mergeCell ref="AH24:AM24"/>
    <mergeCell ref="AN24:AN25"/>
    <mergeCell ref="AO24:AT24"/>
    <mergeCell ref="AW1:BC1"/>
    <mergeCell ref="BD1:BJ1"/>
    <mergeCell ref="AW2:AW3"/>
    <mergeCell ref="AX2:BC2"/>
    <mergeCell ref="BD2:BD3"/>
    <mergeCell ref="BE2:BJ2"/>
    <mergeCell ref="AW12:BC12"/>
    <mergeCell ref="BD12:BJ12"/>
    <mergeCell ref="AW13:AW14"/>
    <mergeCell ref="AX13:BC13"/>
    <mergeCell ref="BD13:BD14"/>
    <mergeCell ref="BE13:BJ13"/>
    <mergeCell ref="AW23:BC23"/>
    <mergeCell ref="BD23:BJ23"/>
    <mergeCell ref="AW24:AW25"/>
    <mergeCell ref="AX24:BC24"/>
    <mergeCell ref="BD24:BD25"/>
    <mergeCell ref="BE24:BJ24"/>
    <mergeCell ref="A35:A36"/>
    <mergeCell ref="B35:G35"/>
    <mergeCell ref="A34:G34"/>
    <mergeCell ref="A45:G45"/>
    <mergeCell ref="I34:O34"/>
    <mergeCell ref="I35:I36"/>
    <mergeCell ref="J35:O35"/>
    <mergeCell ref="Q23:W23"/>
    <mergeCell ref="X23:AD23"/>
    <mergeCell ref="Q24:Q25"/>
    <mergeCell ref="R24:W24"/>
    <mergeCell ref="X24:X25"/>
    <mergeCell ref="Y24:AD24"/>
    <mergeCell ref="Q34:W34"/>
    <mergeCell ref="Y34:AE34"/>
    <mergeCell ref="Q35:Q36"/>
    <mergeCell ref="R35:W35"/>
    <mergeCell ref="Y35:Y36"/>
    <mergeCell ref="Z35:AE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5D263-BBDF-4506-B9CD-595D3FFC0F9E}">
  <dimension ref="A1:V50"/>
  <sheetViews>
    <sheetView workbookViewId="0">
      <selection activeCell="Z34" sqref="Z34"/>
    </sheetView>
  </sheetViews>
  <sheetFormatPr defaultRowHeight="15" x14ac:dyDescent="0.25"/>
  <cols>
    <col min="1" max="1" width="18.85546875" customWidth="1"/>
  </cols>
  <sheetData>
    <row r="1" spans="1:22" ht="15.75" thickBot="1" x14ac:dyDescent="0.3">
      <c r="A1" s="612" t="s">
        <v>8</v>
      </c>
      <c r="B1" s="607" t="s">
        <v>59</v>
      </c>
      <c r="C1" s="608"/>
      <c r="D1" s="608"/>
      <c r="E1" s="608"/>
      <c r="F1" s="608"/>
      <c r="G1" s="608"/>
      <c r="H1" s="609"/>
      <c r="I1" s="610" t="s">
        <v>60</v>
      </c>
      <c r="J1" s="608"/>
      <c r="K1" s="608"/>
      <c r="L1" s="608"/>
      <c r="M1" s="608"/>
      <c r="N1" s="608"/>
      <c r="O1" s="611"/>
      <c r="P1" s="607" t="s">
        <v>103</v>
      </c>
      <c r="Q1" s="608"/>
      <c r="R1" s="608"/>
      <c r="S1" s="608"/>
      <c r="T1" s="608"/>
      <c r="U1" s="608"/>
      <c r="V1" s="609"/>
    </row>
    <row r="2" spans="1:22" ht="15.75" thickBot="1" x14ac:dyDescent="0.3">
      <c r="A2" s="613"/>
      <c r="B2" s="98">
        <v>1</v>
      </c>
      <c r="C2" s="99">
        <v>2</v>
      </c>
      <c r="D2" s="99">
        <v>3</v>
      </c>
      <c r="E2" s="99">
        <v>4</v>
      </c>
      <c r="F2" s="99">
        <v>5</v>
      </c>
      <c r="G2" s="119">
        <v>6</v>
      </c>
      <c r="H2" s="120" t="s">
        <v>52</v>
      </c>
      <c r="I2" s="100">
        <v>1</v>
      </c>
      <c r="J2" s="99">
        <v>2</v>
      </c>
      <c r="K2" s="99">
        <v>3</v>
      </c>
      <c r="L2" s="99">
        <v>4</v>
      </c>
      <c r="M2" s="99">
        <v>5</v>
      </c>
      <c r="N2" s="119">
        <v>6</v>
      </c>
      <c r="O2" s="120" t="s">
        <v>52</v>
      </c>
      <c r="P2" s="98">
        <v>1</v>
      </c>
      <c r="Q2" s="99">
        <v>2</v>
      </c>
      <c r="R2" s="99">
        <v>3</v>
      </c>
      <c r="S2" s="99">
        <v>4</v>
      </c>
      <c r="T2" s="99">
        <v>5</v>
      </c>
      <c r="U2" s="119">
        <v>6</v>
      </c>
      <c r="V2" s="120" t="s">
        <v>52</v>
      </c>
    </row>
    <row r="3" spans="1:22" x14ac:dyDescent="0.25">
      <c r="A3" s="101" t="s">
        <v>51</v>
      </c>
      <c r="B3" s="94">
        <v>41239</v>
      </c>
      <c r="C3" s="93">
        <v>59810</v>
      </c>
      <c r="D3" s="93">
        <v>68705</v>
      </c>
      <c r="E3" s="93">
        <v>65091</v>
      </c>
      <c r="F3" s="93">
        <v>69050</v>
      </c>
      <c r="G3" s="95">
        <v>63441</v>
      </c>
      <c r="H3" s="121">
        <f>AVERAGE(B3:G3)</f>
        <v>61222.666666666664</v>
      </c>
      <c r="I3" s="92">
        <v>61594.5</v>
      </c>
      <c r="J3" s="93">
        <v>85548.5</v>
      </c>
      <c r="K3" s="93">
        <v>83305.5</v>
      </c>
      <c r="L3" s="93">
        <v>86503.5</v>
      </c>
      <c r="M3" s="93">
        <v>89951.5</v>
      </c>
      <c r="N3" s="95">
        <v>85011.5</v>
      </c>
      <c r="O3" s="121">
        <f>AVERAGE(I3:N3)</f>
        <v>81985.833333333328</v>
      </c>
      <c r="P3" s="94">
        <v>49840.333333333336</v>
      </c>
      <c r="Q3" s="93">
        <v>74048.333333333343</v>
      </c>
      <c r="R3" s="93">
        <v>79949.333333333343</v>
      </c>
      <c r="S3" s="93">
        <v>78857.333333333343</v>
      </c>
      <c r="T3" s="93">
        <v>77836.333333333343</v>
      </c>
      <c r="U3" s="95">
        <v>75026.333333333343</v>
      </c>
      <c r="V3" s="121">
        <f>AVERAGE(P3:U3)</f>
        <v>72593.000000000015</v>
      </c>
    </row>
    <row r="4" spans="1:22" x14ac:dyDescent="0.25">
      <c r="A4" s="102" t="s">
        <v>53</v>
      </c>
      <c r="B4" s="87">
        <v>27977.333333333336</v>
      </c>
      <c r="C4" s="86">
        <v>41076.333333333336</v>
      </c>
      <c r="D4" s="86">
        <v>43654.333333333336</v>
      </c>
      <c r="E4" s="86">
        <v>43702.333333333336</v>
      </c>
      <c r="F4" s="86">
        <v>44268.333333333336</v>
      </c>
      <c r="G4" s="96">
        <v>41265.333333333336</v>
      </c>
      <c r="H4" s="36">
        <f t="shared" ref="H4:H9" si="0">AVERAGE(B4:G4)</f>
        <v>40324.000000000007</v>
      </c>
      <c r="I4" s="90">
        <v>42768.5</v>
      </c>
      <c r="J4" s="86">
        <v>64267.5</v>
      </c>
      <c r="K4" s="86">
        <v>61626.5</v>
      </c>
      <c r="L4" s="86">
        <v>63691.5</v>
      </c>
      <c r="M4" s="86">
        <v>65351.5</v>
      </c>
      <c r="N4" s="96">
        <v>63601.5</v>
      </c>
      <c r="O4" s="36">
        <f t="shared" ref="O4:O9" si="1">AVERAGE(I4:N4)</f>
        <v>60217.833333333336</v>
      </c>
      <c r="P4" s="87">
        <v>19419.5</v>
      </c>
      <c r="Q4" s="86">
        <v>56524.5</v>
      </c>
      <c r="R4" s="86">
        <v>54741.5</v>
      </c>
      <c r="S4" s="86">
        <v>55739.5</v>
      </c>
      <c r="T4" s="86">
        <v>50699.5</v>
      </c>
      <c r="U4" s="96">
        <v>50588.5</v>
      </c>
      <c r="V4" s="36">
        <f t="shared" ref="V4:V9" si="2">AVERAGE(P4:U4)</f>
        <v>47952.166666666664</v>
      </c>
    </row>
    <row r="5" spans="1:22" x14ac:dyDescent="0.25">
      <c r="A5" s="102" t="s">
        <v>54</v>
      </c>
      <c r="B5" s="87">
        <v>12199.833333333336</v>
      </c>
      <c r="C5" s="86">
        <v>35257.833333333336</v>
      </c>
      <c r="D5" s="86">
        <v>34764.833333333336</v>
      </c>
      <c r="E5" s="86">
        <v>37267.833333333336</v>
      </c>
      <c r="F5" s="86">
        <v>34862.833333333336</v>
      </c>
      <c r="G5" s="96">
        <v>27511.833333333336</v>
      </c>
      <c r="H5" s="36">
        <f t="shared" si="0"/>
        <v>30310.833333333339</v>
      </c>
      <c r="I5" s="90">
        <v>22159.333333333336</v>
      </c>
      <c r="J5" s="86">
        <v>49066.333333333336</v>
      </c>
      <c r="K5" s="86">
        <v>53340.333333333336</v>
      </c>
      <c r="L5" s="86">
        <v>49924.333333333336</v>
      </c>
      <c r="M5" s="86">
        <v>55164.333333333336</v>
      </c>
      <c r="N5" s="96">
        <v>50835.333333333336</v>
      </c>
      <c r="O5" s="36">
        <f t="shared" si="1"/>
        <v>46748.333333333336</v>
      </c>
      <c r="P5" s="87">
        <v>32284.166666666664</v>
      </c>
      <c r="Q5" s="86">
        <v>48406.166666666664</v>
      </c>
      <c r="R5" s="86">
        <v>50367.166666666664</v>
      </c>
      <c r="S5" s="86"/>
      <c r="T5" s="86">
        <v>45727.166666666664</v>
      </c>
      <c r="U5" s="96">
        <v>39994.166666666664</v>
      </c>
      <c r="V5" s="36">
        <f t="shared" si="2"/>
        <v>43355.766666666663</v>
      </c>
    </row>
    <row r="6" spans="1:22" x14ac:dyDescent="0.25">
      <c r="A6" s="102" t="s">
        <v>55</v>
      </c>
      <c r="B6" s="87">
        <v>14104.666666666664</v>
      </c>
      <c r="C6" s="86">
        <v>30231.666666666664</v>
      </c>
      <c r="D6" s="86">
        <v>34762.666666666664</v>
      </c>
      <c r="E6" s="86">
        <v>34744.666666666664</v>
      </c>
      <c r="F6" s="86">
        <v>31115.666666666664</v>
      </c>
      <c r="G6" s="96">
        <v>31744.666666666664</v>
      </c>
      <c r="H6" s="36">
        <f t="shared" si="0"/>
        <v>29450.666666666661</v>
      </c>
      <c r="I6" s="90">
        <v>27854.333333333336</v>
      </c>
      <c r="J6" s="86">
        <v>53127.333333333336</v>
      </c>
      <c r="K6" s="86">
        <v>57407.333333333336</v>
      </c>
      <c r="L6" s="86">
        <v>53298.333333333336</v>
      </c>
      <c r="M6" s="86">
        <v>51112.333333333336</v>
      </c>
      <c r="N6" s="96">
        <v>46433.333333333336</v>
      </c>
      <c r="O6" s="36">
        <f t="shared" si="1"/>
        <v>48205.5</v>
      </c>
      <c r="P6" s="87">
        <v>43496.666666666664</v>
      </c>
      <c r="Q6" s="86">
        <v>43632.666666666664</v>
      </c>
      <c r="R6" s="86">
        <v>43022.666666666664</v>
      </c>
      <c r="S6" s="86">
        <v>37040.666666666664</v>
      </c>
      <c r="T6" s="86">
        <v>40177.666666666664</v>
      </c>
      <c r="U6" s="96">
        <v>34295.666666666664</v>
      </c>
      <c r="V6" s="36">
        <f t="shared" si="2"/>
        <v>40277.666666666664</v>
      </c>
    </row>
    <row r="7" spans="1:22" x14ac:dyDescent="0.25">
      <c r="A7" s="102" t="s">
        <v>56</v>
      </c>
      <c r="B7" s="87">
        <v>16501.333333333336</v>
      </c>
      <c r="C7" s="86">
        <v>29748.333333333336</v>
      </c>
      <c r="D7" s="86">
        <v>32721.333333333336</v>
      </c>
      <c r="E7" s="86">
        <v>31999.333333333336</v>
      </c>
      <c r="F7" s="86">
        <v>30944.333333333336</v>
      </c>
      <c r="G7" s="96">
        <v>28162.333333333336</v>
      </c>
      <c r="H7" s="36">
        <f t="shared" si="0"/>
        <v>28346.166666666672</v>
      </c>
      <c r="I7" s="90">
        <v>29402.833333333336</v>
      </c>
      <c r="J7" s="86">
        <v>45394.833333333336</v>
      </c>
      <c r="K7" s="86">
        <v>52646.833333333336</v>
      </c>
      <c r="L7" s="86">
        <v>49178.833333333336</v>
      </c>
      <c r="M7" s="86">
        <v>53256.833333333336</v>
      </c>
      <c r="N7" s="96">
        <v>50759.833333333336</v>
      </c>
      <c r="O7" s="36">
        <f t="shared" si="1"/>
        <v>46773.333333333336</v>
      </c>
      <c r="P7" s="87">
        <v>27167.833333333336</v>
      </c>
      <c r="Q7" s="86">
        <v>35007.833333333336</v>
      </c>
      <c r="R7" s="86">
        <v>37104.833333333336</v>
      </c>
      <c r="S7" s="86">
        <v>36100.833333333336</v>
      </c>
      <c r="T7" s="86">
        <v>38545.833333333336</v>
      </c>
      <c r="U7" s="96">
        <v>33190.833333333336</v>
      </c>
      <c r="V7" s="36">
        <f t="shared" si="2"/>
        <v>34519.666666666672</v>
      </c>
    </row>
    <row r="8" spans="1:22" x14ac:dyDescent="0.25">
      <c r="A8" s="102" t="s">
        <v>57</v>
      </c>
      <c r="B8" s="87">
        <v>11992.333333333336</v>
      </c>
      <c r="C8" s="86">
        <v>18463.333333333336</v>
      </c>
      <c r="D8" s="86">
        <v>33612.333333333336</v>
      </c>
      <c r="E8" s="86">
        <v>35292.333333333336</v>
      </c>
      <c r="F8" s="86">
        <v>34312.333333333336</v>
      </c>
      <c r="G8" s="96">
        <v>33349.333333333336</v>
      </c>
      <c r="H8" s="36">
        <f t="shared" si="0"/>
        <v>27837.000000000004</v>
      </c>
      <c r="I8" s="90">
        <v>19433.5</v>
      </c>
      <c r="J8" s="86">
        <v>44000.5</v>
      </c>
      <c r="K8" s="86">
        <v>54509.5</v>
      </c>
      <c r="L8" s="86">
        <v>52868.5</v>
      </c>
      <c r="M8" s="86">
        <v>55292.5</v>
      </c>
      <c r="N8" s="96">
        <v>52248.5</v>
      </c>
      <c r="O8" s="36">
        <f t="shared" si="1"/>
        <v>46392.166666666664</v>
      </c>
      <c r="P8" s="87">
        <v>25692.333333333336</v>
      </c>
      <c r="Q8" s="86">
        <v>38981.333333333336</v>
      </c>
      <c r="R8" s="86">
        <v>35801.333333333336</v>
      </c>
      <c r="S8" s="86">
        <v>30453.333333333336</v>
      </c>
      <c r="T8" s="86">
        <v>39769.333333333336</v>
      </c>
      <c r="U8" s="96">
        <v>40757.333333333336</v>
      </c>
      <c r="V8" s="36">
        <f t="shared" si="2"/>
        <v>35242.500000000007</v>
      </c>
    </row>
    <row r="9" spans="1:22" ht="15.75" thickBot="1" x14ac:dyDescent="0.3">
      <c r="A9" s="396" t="s">
        <v>58</v>
      </c>
      <c r="B9" s="254">
        <v>11529.833333333336</v>
      </c>
      <c r="C9" s="211">
        <v>21922.833333333336</v>
      </c>
      <c r="D9" s="211">
        <v>23836.833333333336</v>
      </c>
      <c r="E9" s="211">
        <v>24114.833333333336</v>
      </c>
      <c r="F9" s="211">
        <v>23397.833333333336</v>
      </c>
      <c r="G9" s="212">
        <v>27921.833333333336</v>
      </c>
      <c r="H9" s="213">
        <f t="shared" si="0"/>
        <v>22120.666666666672</v>
      </c>
      <c r="I9" s="214">
        <v>14146.833333333336</v>
      </c>
      <c r="J9" s="211">
        <v>32370.833333333336</v>
      </c>
      <c r="K9" s="211">
        <v>39129.833333333336</v>
      </c>
      <c r="L9" s="211">
        <v>40581.833333333336</v>
      </c>
      <c r="M9" s="211">
        <v>40395.833333333336</v>
      </c>
      <c r="N9" s="212">
        <v>28563.833333333336</v>
      </c>
      <c r="O9" s="213">
        <f t="shared" si="1"/>
        <v>32531.500000000004</v>
      </c>
      <c r="P9" s="254">
        <v>17398</v>
      </c>
      <c r="Q9" s="211">
        <v>30203</v>
      </c>
      <c r="R9" s="211">
        <v>34187</v>
      </c>
      <c r="S9" s="211">
        <v>35621</v>
      </c>
      <c r="T9" s="211">
        <v>33056</v>
      </c>
      <c r="U9" s="212">
        <v>23229</v>
      </c>
      <c r="V9" s="213">
        <f t="shared" si="2"/>
        <v>28949</v>
      </c>
    </row>
    <row r="10" spans="1:22" x14ac:dyDescent="0.25">
      <c r="A10" s="397" t="s">
        <v>117</v>
      </c>
      <c r="B10" s="203">
        <v>24724.166333333334</v>
      </c>
      <c r="C10" s="204">
        <v>28976.166333333334</v>
      </c>
      <c r="D10" s="204">
        <v>32506.166333333334</v>
      </c>
      <c r="E10" s="204">
        <v>37760.166333333334</v>
      </c>
      <c r="F10" s="204">
        <v>46339.166333333334</v>
      </c>
      <c r="G10" s="207">
        <v>37263.166333333334</v>
      </c>
      <c r="H10" s="30">
        <v>34594.832999999999</v>
      </c>
      <c r="I10" s="203">
        <v>34159.49966666667</v>
      </c>
      <c r="J10" s="204">
        <v>49283.49966666667</v>
      </c>
      <c r="K10" s="204">
        <v>61261.49966666667</v>
      </c>
      <c r="L10" s="204">
        <v>47977.49966666667</v>
      </c>
      <c r="M10" s="204">
        <v>36548.49966666667</v>
      </c>
      <c r="N10" s="207">
        <v>31468.499666666667</v>
      </c>
      <c r="O10" s="30">
        <v>43449.833000000006</v>
      </c>
      <c r="P10" s="203">
        <v>34535.666333333334</v>
      </c>
      <c r="Q10" s="204">
        <v>38960.666333333334</v>
      </c>
      <c r="R10" s="204">
        <v>41436.666333333334</v>
      </c>
      <c r="S10" s="204">
        <v>42988.666333333334</v>
      </c>
      <c r="T10" s="204">
        <v>42791.666333333334</v>
      </c>
      <c r="U10" s="207">
        <v>36226.666333333334</v>
      </c>
      <c r="V10" s="250">
        <v>39489.999666666663</v>
      </c>
    </row>
    <row r="11" spans="1:22" ht="15.75" thickBot="1" x14ac:dyDescent="0.3">
      <c r="A11" s="398" t="s">
        <v>118</v>
      </c>
      <c r="B11" s="88">
        <v>14061.999666666667</v>
      </c>
      <c r="C11" s="89">
        <v>16596.999666666667</v>
      </c>
      <c r="D11" s="89">
        <v>17597.999666666667</v>
      </c>
      <c r="E11" s="89">
        <v>18215.999666666667</v>
      </c>
      <c r="F11" s="89">
        <v>23372.999666666667</v>
      </c>
      <c r="G11" s="200">
        <v>18540.999666666667</v>
      </c>
      <c r="H11" s="39">
        <v>18064.499666666667</v>
      </c>
      <c r="I11" s="88">
        <v>17862.332999999999</v>
      </c>
      <c r="J11" s="89">
        <v>24703.332999999999</v>
      </c>
      <c r="K11" s="89">
        <v>24214.332999999999</v>
      </c>
      <c r="L11" s="89">
        <v>22918.332999999999</v>
      </c>
      <c r="M11" s="89">
        <v>23449.332999999999</v>
      </c>
      <c r="N11" s="200">
        <v>23366.332999999999</v>
      </c>
      <c r="O11" s="39">
        <v>22752.332999999999</v>
      </c>
      <c r="P11" s="88">
        <v>19811.999666666667</v>
      </c>
      <c r="Q11" s="89">
        <v>21929.999666666667</v>
      </c>
      <c r="R11" s="89">
        <v>23371.999666666667</v>
      </c>
      <c r="S11" s="89">
        <v>21904.999666666667</v>
      </c>
      <c r="T11" s="89">
        <v>16153.999666666667</v>
      </c>
      <c r="U11" s="200">
        <v>17335.999666666667</v>
      </c>
      <c r="V11" s="399">
        <v>20084.833000000002</v>
      </c>
    </row>
    <row r="13" spans="1:22" ht="15.75" thickBot="1" x14ac:dyDescent="0.3"/>
    <row r="14" spans="1:22" ht="15.75" thickBot="1" x14ac:dyDescent="0.3">
      <c r="A14" s="621" t="s">
        <v>61</v>
      </c>
      <c r="B14" s="623" t="s">
        <v>59</v>
      </c>
      <c r="C14" s="624"/>
      <c r="D14" s="624"/>
      <c r="E14" s="624"/>
      <c r="F14" s="624"/>
      <c r="G14" s="624"/>
      <c r="H14" s="625"/>
      <c r="I14" s="626" t="s">
        <v>60</v>
      </c>
      <c r="J14" s="624"/>
      <c r="K14" s="624"/>
      <c r="L14" s="624"/>
      <c r="M14" s="624"/>
      <c r="N14" s="624"/>
      <c r="O14" s="627"/>
      <c r="P14" s="623" t="s">
        <v>103</v>
      </c>
      <c r="Q14" s="624"/>
      <c r="R14" s="624"/>
      <c r="S14" s="624"/>
      <c r="T14" s="624"/>
      <c r="U14" s="624"/>
      <c r="V14" s="625"/>
    </row>
    <row r="15" spans="1:22" ht="15.75" thickBot="1" x14ac:dyDescent="0.3">
      <c r="A15" s="622"/>
      <c r="B15" s="103">
        <v>1</v>
      </c>
      <c r="C15" s="104">
        <v>2</v>
      </c>
      <c r="D15" s="104">
        <v>3</v>
      </c>
      <c r="E15" s="104">
        <v>4</v>
      </c>
      <c r="F15" s="104">
        <v>5</v>
      </c>
      <c r="G15" s="122">
        <v>6</v>
      </c>
      <c r="H15" s="123" t="s">
        <v>52</v>
      </c>
      <c r="I15" s="105">
        <v>1</v>
      </c>
      <c r="J15" s="104">
        <v>2</v>
      </c>
      <c r="K15" s="104">
        <v>3</v>
      </c>
      <c r="L15" s="104">
        <v>4</v>
      </c>
      <c r="M15" s="104">
        <v>5</v>
      </c>
      <c r="N15" s="122">
        <v>6</v>
      </c>
      <c r="O15" s="123" t="s">
        <v>52</v>
      </c>
      <c r="P15" s="103">
        <v>1</v>
      </c>
      <c r="Q15" s="104">
        <v>2</v>
      </c>
      <c r="R15" s="104">
        <v>3</v>
      </c>
      <c r="S15" s="104">
        <v>4</v>
      </c>
      <c r="T15" s="104">
        <v>5</v>
      </c>
      <c r="U15" s="122">
        <v>6</v>
      </c>
      <c r="V15" s="123" t="s">
        <v>52</v>
      </c>
    </row>
    <row r="16" spans="1:22" x14ac:dyDescent="0.25">
      <c r="A16" s="106" t="s">
        <v>51</v>
      </c>
      <c r="B16" s="107">
        <v>48240.666666666664</v>
      </c>
      <c r="C16" s="108">
        <v>42811.666666666664</v>
      </c>
      <c r="D16" s="108">
        <v>39197.666666666664</v>
      </c>
      <c r="E16" s="108">
        <v>36768.666666666664</v>
      </c>
      <c r="F16" s="108">
        <v>31675.666666666664</v>
      </c>
      <c r="G16" s="109">
        <v>16571.666666666664</v>
      </c>
      <c r="H16" s="51">
        <f>AVERAGE(B16:G16)</f>
        <v>35877.666666666664</v>
      </c>
      <c r="I16" s="107">
        <v>68791.666666666657</v>
      </c>
      <c r="J16" s="108">
        <v>56913.666666666664</v>
      </c>
      <c r="K16" s="108">
        <v>49510.666666666664</v>
      </c>
      <c r="L16" s="108">
        <v>43923.666666666664</v>
      </c>
      <c r="M16" s="108">
        <v>41295.666666666664</v>
      </c>
      <c r="N16" s="109">
        <v>28945.666666666664</v>
      </c>
      <c r="O16" s="51">
        <f>AVERAGE(I16:N16)</f>
        <v>48230.166666666657</v>
      </c>
      <c r="P16" s="110">
        <v>34580.166666666664</v>
      </c>
      <c r="Q16" s="108">
        <v>16251.166666666664</v>
      </c>
      <c r="R16" s="108">
        <v>20951.166666666664</v>
      </c>
      <c r="S16" s="108">
        <v>19587.166666666664</v>
      </c>
      <c r="T16" s="108">
        <v>16116.166666666664</v>
      </c>
      <c r="U16" s="109">
        <v>17134.166666666664</v>
      </c>
      <c r="V16" s="51">
        <f>AVERAGE(P16:U16)</f>
        <v>20769.999999999996</v>
      </c>
    </row>
    <row r="17" spans="1:22" x14ac:dyDescent="0.25">
      <c r="A17" s="111" t="s">
        <v>53</v>
      </c>
      <c r="B17" s="112">
        <v>29939.833333333336</v>
      </c>
      <c r="C17" s="2">
        <v>29208.833333333336</v>
      </c>
      <c r="D17" s="2">
        <v>29515.833333333336</v>
      </c>
      <c r="E17" s="2">
        <v>28352.833333333336</v>
      </c>
      <c r="F17" s="2">
        <v>30777.833333333336</v>
      </c>
      <c r="G17" s="113">
        <v>8232.8333333333358</v>
      </c>
      <c r="H17" s="60">
        <f t="shared" ref="H17:H22" si="3">AVERAGE(B17:G17)</f>
        <v>26004.666666666672</v>
      </c>
      <c r="I17" s="112">
        <v>49860.166666666664</v>
      </c>
      <c r="J17" s="2">
        <v>30788.166666666664</v>
      </c>
      <c r="K17" s="2">
        <v>34979.166666666664</v>
      </c>
      <c r="L17" s="2">
        <v>38161.166666666664</v>
      </c>
      <c r="M17" s="2">
        <v>52366.166666666664</v>
      </c>
      <c r="N17" s="113">
        <v>22850.166666666664</v>
      </c>
      <c r="O17" s="60">
        <f t="shared" ref="O17:O22" si="4">AVERAGE(I17:N17)</f>
        <v>38167.499999999993</v>
      </c>
      <c r="P17" s="10">
        <v>18788</v>
      </c>
      <c r="Q17" s="2">
        <v>17024</v>
      </c>
      <c r="R17" s="2">
        <v>15609</v>
      </c>
      <c r="S17" s="2">
        <v>8403</v>
      </c>
      <c r="T17" s="2">
        <v>8558</v>
      </c>
      <c r="U17" s="113">
        <v>6510</v>
      </c>
      <c r="V17" s="60">
        <f t="shared" ref="V17:V22" si="5">AVERAGE(P17:U17)</f>
        <v>12482</v>
      </c>
    </row>
    <row r="18" spans="1:22" x14ac:dyDescent="0.25">
      <c r="A18" s="111" t="s">
        <v>54</v>
      </c>
      <c r="B18" s="112">
        <v>25148.833333333336</v>
      </c>
      <c r="C18" s="2">
        <v>21220.833333333336</v>
      </c>
      <c r="D18" s="2">
        <v>24891.833333333336</v>
      </c>
      <c r="E18" s="2">
        <v>18345.833333333336</v>
      </c>
      <c r="F18" s="2">
        <v>9138.8333333333358</v>
      </c>
      <c r="G18" s="113">
        <v>6150.8333333333358</v>
      </c>
      <c r="H18" s="60">
        <f t="shared" si="3"/>
        <v>17482.833333333339</v>
      </c>
      <c r="I18" s="112">
        <v>52348.666666666664</v>
      </c>
      <c r="J18" s="2">
        <v>47451.666666666664</v>
      </c>
      <c r="K18" s="2">
        <v>49953.666666666664</v>
      </c>
      <c r="L18" s="2">
        <v>35872.666666666664</v>
      </c>
      <c r="M18" s="2">
        <v>18792.666666666664</v>
      </c>
      <c r="N18" s="113">
        <v>15291.666666666664</v>
      </c>
      <c r="O18" s="60">
        <f t="shared" si="4"/>
        <v>36618.499999999993</v>
      </c>
      <c r="P18" s="10">
        <v>10027.5</v>
      </c>
      <c r="Q18" s="2">
        <v>6298.5</v>
      </c>
      <c r="R18" s="2">
        <v>8936.5</v>
      </c>
      <c r="S18" s="2">
        <v>5924.5</v>
      </c>
      <c r="T18" s="2">
        <v>7208.5</v>
      </c>
      <c r="U18" s="113">
        <v>5522.5</v>
      </c>
      <c r="V18" s="60">
        <f t="shared" si="5"/>
        <v>7319.666666666667</v>
      </c>
    </row>
    <row r="19" spans="1:22" x14ac:dyDescent="0.25">
      <c r="A19" s="111" t="s">
        <v>55</v>
      </c>
      <c r="B19" s="112">
        <v>26582</v>
      </c>
      <c r="C19" s="2">
        <v>26375</v>
      </c>
      <c r="D19" s="2">
        <v>27649</v>
      </c>
      <c r="E19" s="2">
        <v>25543</v>
      </c>
      <c r="F19" s="2">
        <v>20277</v>
      </c>
      <c r="G19" s="113">
        <v>7046</v>
      </c>
      <c r="H19" s="60">
        <f t="shared" si="3"/>
        <v>22245.333333333332</v>
      </c>
      <c r="I19" s="112">
        <v>46403.5</v>
      </c>
      <c r="J19" s="2">
        <v>45772.5</v>
      </c>
      <c r="K19" s="2">
        <v>42203.5</v>
      </c>
      <c r="L19" s="2">
        <v>33778.5</v>
      </c>
      <c r="M19" s="2">
        <v>21742.5</v>
      </c>
      <c r="N19" s="113">
        <v>16148.5</v>
      </c>
      <c r="O19" s="60">
        <f t="shared" si="4"/>
        <v>34341.5</v>
      </c>
      <c r="P19" s="10">
        <v>6480.6666666666642</v>
      </c>
      <c r="Q19" s="2">
        <v>6897.6666666666642</v>
      </c>
      <c r="R19" s="2">
        <v>8047.6666666666642</v>
      </c>
      <c r="S19" s="2">
        <v>7803.6666666666642</v>
      </c>
      <c r="T19" s="2">
        <v>7906.6666666666642</v>
      </c>
      <c r="U19" s="113">
        <v>6816.6666666666642</v>
      </c>
      <c r="V19" s="60">
        <f t="shared" si="5"/>
        <v>7325.4999999999973</v>
      </c>
    </row>
    <row r="20" spans="1:22" x14ac:dyDescent="0.25">
      <c r="A20" s="111" t="s">
        <v>56</v>
      </c>
      <c r="B20" s="112">
        <v>25897.333333333336</v>
      </c>
      <c r="C20" s="2">
        <v>26815.333333333336</v>
      </c>
      <c r="D20" s="2">
        <v>25578.333333333336</v>
      </c>
      <c r="E20" s="2">
        <v>24849.333333333336</v>
      </c>
      <c r="F20" s="2">
        <v>16790.333333333336</v>
      </c>
      <c r="G20" s="113">
        <v>5981.3333333333358</v>
      </c>
      <c r="H20" s="60">
        <f t="shared" si="3"/>
        <v>20985.333333333339</v>
      </c>
      <c r="I20" s="112">
        <v>50786.5</v>
      </c>
      <c r="J20" s="2">
        <v>44034.5</v>
      </c>
      <c r="K20" s="2">
        <v>39681.5</v>
      </c>
      <c r="L20" s="2">
        <v>28403.5</v>
      </c>
      <c r="M20" s="2">
        <v>16161.5</v>
      </c>
      <c r="N20" s="113">
        <v>16607.5</v>
      </c>
      <c r="O20" s="60">
        <f t="shared" si="4"/>
        <v>32612.5</v>
      </c>
      <c r="P20" s="10">
        <v>4917.6666666666642</v>
      </c>
      <c r="Q20" s="2">
        <v>5153.6666666666642</v>
      </c>
      <c r="R20" s="2">
        <v>3849.6666666666642</v>
      </c>
      <c r="S20" s="2">
        <v>4857.6666666666642</v>
      </c>
      <c r="T20" s="2">
        <v>5177.6666666666642</v>
      </c>
      <c r="U20" s="113">
        <v>5633.6666666666642</v>
      </c>
      <c r="V20" s="60">
        <f t="shared" si="5"/>
        <v>4931.6666666666642</v>
      </c>
    </row>
    <row r="21" spans="1:22" x14ac:dyDescent="0.25">
      <c r="A21" s="111" t="s">
        <v>57</v>
      </c>
      <c r="B21" s="112">
        <v>23762.333333333336</v>
      </c>
      <c r="C21" s="2">
        <v>15313.333333333336</v>
      </c>
      <c r="D21" s="2">
        <v>27416.333333333336</v>
      </c>
      <c r="E21" s="2">
        <v>20187.333333333336</v>
      </c>
      <c r="F21" s="2">
        <v>10554.333333333336</v>
      </c>
      <c r="G21" s="113">
        <v>5554.3333333333358</v>
      </c>
      <c r="H21" s="60">
        <f t="shared" si="3"/>
        <v>17131.333333333339</v>
      </c>
      <c r="I21" s="112">
        <v>41887.166666666664</v>
      </c>
      <c r="J21" s="2">
        <v>36724.166666666664</v>
      </c>
      <c r="K21" s="2">
        <v>45906.166666666664</v>
      </c>
      <c r="L21" s="2">
        <v>40673.166666666664</v>
      </c>
      <c r="M21" s="2">
        <v>19523.166666666664</v>
      </c>
      <c r="N21" s="113">
        <v>17117.166666666664</v>
      </c>
      <c r="O21" s="60">
        <f t="shared" si="4"/>
        <v>33638.499999999993</v>
      </c>
      <c r="P21" s="10">
        <v>7693.5</v>
      </c>
      <c r="Q21" s="2">
        <v>8634.5</v>
      </c>
      <c r="R21" s="2">
        <v>9093.5</v>
      </c>
      <c r="S21" s="2">
        <v>7098.5</v>
      </c>
      <c r="T21" s="2">
        <v>7743.5</v>
      </c>
      <c r="U21" s="113">
        <v>7512.5</v>
      </c>
      <c r="V21" s="60">
        <f t="shared" si="5"/>
        <v>7962.666666666667</v>
      </c>
    </row>
    <row r="22" spans="1:22" ht="15.75" thickBot="1" x14ac:dyDescent="0.3">
      <c r="A22" s="114" t="s">
        <v>58</v>
      </c>
      <c r="B22" s="115">
        <v>22022.5</v>
      </c>
      <c r="C22" s="116">
        <v>19844.5</v>
      </c>
      <c r="D22" s="116">
        <v>18084.5</v>
      </c>
      <c r="E22" s="116">
        <v>10907.5</v>
      </c>
      <c r="F22" s="116">
        <v>7353.5</v>
      </c>
      <c r="G22" s="117">
        <v>6675.5</v>
      </c>
      <c r="H22" s="63">
        <f t="shared" si="3"/>
        <v>14148</v>
      </c>
      <c r="I22" s="115">
        <v>27829</v>
      </c>
      <c r="J22" s="116">
        <v>23637</v>
      </c>
      <c r="K22" s="116">
        <v>18810</v>
      </c>
      <c r="L22" s="116">
        <v>20995</v>
      </c>
      <c r="M22" s="116">
        <v>24237</v>
      </c>
      <c r="N22" s="117">
        <v>19442</v>
      </c>
      <c r="O22" s="63">
        <f t="shared" si="4"/>
        <v>22491.666666666668</v>
      </c>
      <c r="P22" s="118">
        <v>8219.5</v>
      </c>
      <c r="Q22" s="116">
        <v>10811.5</v>
      </c>
      <c r="R22" s="116">
        <v>10882.5</v>
      </c>
      <c r="S22" s="116">
        <v>5513.5</v>
      </c>
      <c r="T22" s="116">
        <v>4492.5</v>
      </c>
      <c r="U22" s="117">
        <v>7897.5</v>
      </c>
      <c r="V22" s="63">
        <f t="shared" si="5"/>
        <v>7969.5</v>
      </c>
    </row>
    <row r="23" spans="1:22" x14ac:dyDescent="0.25">
      <c r="A23" s="400" t="s">
        <v>117</v>
      </c>
      <c r="B23" s="107">
        <v>13071.999666666667</v>
      </c>
      <c r="C23" s="108">
        <v>17644.999666666667</v>
      </c>
      <c r="D23" s="108">
        <v>15137.999666666667</v>
      </c>
      <c r="E23" s="108">
        <v>24477.999666666667</v>
      </c>
      <c r="F23" s="108">
        <v>13526.999666666667</v>
      </c>
      <c r="G23" s="209">
        <v>14586.999666666667</v>
      </c>
      <c r="H23" s="52">
        <v>16407.833000000002</v>
      </c>
      <c r="I23" s="107">
        <v>38846.666333333334</v>
      </c>
      <c r="J23" s="108">
        <v>36419.666333333334</v>
      </c>
      <c r="K23" s="108">
        <v>32895.666333333334</v>
      </c>
      <c r="L23" s="108">
        <v>39974.666333333334</v>
      </c>
      <c r="M23" s="108">
        <v>36767.666333333334</v>
      </c>
      <c r="N23" s="209">
        <v>53552.666333333334</v>
      </c>
      <c r="O23" s="52">
        <v>39742.832999999999</v>
      </c>
      <c r="P23" s="107">
        <v>25217.666333333334</v>
      </c>
      <c r="Q23" s="108">
        <v>22105.666333333334</v>
      </c>
      <c r="R23" s="108">
        <v>25770.666333333334</v>
      </c>
      <c r="S23" s="108">
        <v>24104.666333333334</v>
      </c>
      <c r="T23" s="108">
        <v>24940.666333333334</v>
      </c>
      <c r="U23" s="209">
        <v>28891.666333333334</v>
      </c>
      <c r="V23" s="251">
        <v>25171.832999999999</v>
      </c>
    </row>
    <row r="24" spans="1:22" ht="15.75" thickBot="1" x14ac:dyDescent="0.3">
      <c r="A24" s="114" t="s">
        <v>118</v>
      </c>
      <c r="B24" s="115">
        <v>3483.3330000000001</v>
      </c>
      <c r="C24" s="116">
        <v>2054.3330000000001</v>
      </c>
      <c r="D24" s="116">
        <v>3366.3330000000001</v>
      </c>
      <c r="E24" s="116">
        <v>3233.3330000000001</v>
      </c>
      <c r="F24" s="116">
        <v>3532.3330000000001</v>
      </c>
      <c r="G24" s="201">
        <v>3735.3330000000001</v>
      </c>
      <c r="H24" s="62">
        <v>3234.1663333333331</v>
      </c>
      <c r="I24" s="115">
        <v>10866.166333333334</v>
      </c>
      <c r="J24" s="116">
        <v>18096.166333333334</v>
      </c>
      <c r="K24" s="116">
        <v>13865.166333333334</v>
      </c>
      <c r="L24" s="116">
        <v>17725.166333333334</v>
      </c>
      <c r="M24" s="116">
        <v>12608.166333333334</v>
      </c>
      <c r="N24" s="201">
        <v>10124.166333333334</v>
      </c>
      <c r="O24" s="62">
        <v>13880.832999999999</v>
      </c>
      <c r="P24" s="115">
        <v>5157.1663333333336</v>
      </c>
      <c r="Q24" s="116">
        <v>4712.1663333333336</v>
      </c>
      <c r="R24" s="116">
        <v>3827.1663333333336</v>
      </c>
      <c r="S24" s="116">
        <v>3857.1663333333336</v>
      </c>
      <c r="T24" s="116">
        <v>2533.1663333333336</v>
      </c>
      <c r="U24" s="201">
        <v>2488.1663333333336</v>
      </c>
      <c r="V24" s="401">
        <v>3762.4996666666671</v>
      </c>
    </row>
    <row r="26" spans="1:22" ht="15.75" thickBot="1" x14ac:dyDescent="0.3"/>
    <row r="27" spans="1:22" ht="15.75" thickBot="1" x14ac:dyDescent="0.3">
      <c r="A27" s="628" t="s">
        <v>12</v>
      </c>
      <c r="B27" s="630" t="s">
        <v>59</v>
      </c>
      <c r="C27" s="631"/>
      <c r="D27" s="631"/>
      <c r="E27" s="631"/>
      <c r="F27" s="631"/>
      <c r="G27" s="631"/>
      <c r="H27" s="632"/>
      <c r="I27" s="633" t="s">
        <v>60</v>
      </c>
      <c r="J27" s="631"/>
      <c r="K27" s="631"/>
      <c r="L27" s="631"/>
      <c r="M27" s="631"/>
      <c r="N27" s="631"/>
      <c r="O27" s="634"/>
      <c r="P27" s="630" t="s">
        <v>103</v>
      </c>
      <c r="Q27" s="631"/>
      <c r="R27" s="631"/>
      <c r="S27" s="631"/>
      <c r="T27" s="631"/>
      <c r="U27" s="631"/>
      <c r="V27" s="632"/>
    </row>
    <row r="28" spans="1:22" ht="15.75" thickBot="1" x14ac:dyDescent="0.3">
      <c r="A28" s="629"/>
      <c r="B28" s="124">
        <v>1</v>
      </c>
      <c r="C28" s="125">
        <v>2</v>
      </c>
      <c r="D28" s="125">
        <v>3</v>
      </c>
      <c r="E28" s="125">
        <v>4</v>
      </c>
      <c r="F28" s="125">
        <v>5</v>
      </c>
      <c r="G28" s="126">
        <v>6</v>
      </c>
      <c r="H28" s="127" t="s">
        <v>52</v>
      </c>
      <c r="I28" s="128">
        <v>1</v>
      </c>
      <c r="J28" s="125">
        <v>2</v>
      </c>
      <c r="K28" s="125">
        <v>3</v>
      </c>
      <c r="L28" s="125">
        <v>4</v>
      </c>
      <c r="M28" s="125">
        <v>5</v>
      </c>
      <c r="N28" s="126">
        <v>6</v>
      </c>
      <c r="O28" s="127" t="s">
        <v>52</v>
      </c>
      <c r="P28" s="124">
        <v>1</v>
      </c>
      <c r="Q28" s="125">
        <v>2</v>
      </c>
      <c r="R28" s="125">
        <v>3</v>
      </c>
      <c r="S28" s="125">
        <v>4</v>
      </c>
      <c r="T28" s="125">
        <v>5</v>
      </c>
      <c r="U28" s="126">
        <v>6</v>
      </c>
      <c r="V28" s="127" t="s">
        <v>52</v>
      </c>
    </row>
    <row r="29" spans="1:22" x14ac:dyDescent="0.25">
      <c r="A29" s="129" t="s">
        <v>51</v>
      </c>
      <c r="B29" s="130">
        <v>28563.166333333334</v>
      </c>
      <c r="C29" s="131">
        <v>8771.1663333333345</v>
      </c>
      <c r="D29" s="131">
        <v>14259.166333333334</v>
      </c>
      <c r="E29" s="131">
        <v>14145.166333333334</v>
      </c>
      <c r="F29" s="131">
        <v>13960.166333333334</v>
      </c>
      <c r="G29" s="132">
        <v>10171.166333333334</v>
      </c>
      <c r="H29" s="74">
        <f>AVERAGE(B29:G29)</f>
        <v>14978.332999999999</v>
      </c>
      <c r="I29" s="130">
        <v>4622.9996666666666</v>
      </c>
      <c r="J29" s="131">
        <v>8825.9996666666666</v>
      </c>
      <c r="K29" s="131">
        <v>10116.999666666667</v>
      </c>
      <c r="L29" s="131">
        <v>10505.999666666667</v>
      </c>
      <c r="M29" s="131">
        <v>9231.9996666666666</v>
      </c>
      <c r="N29" s="132">
        <v>17905.999666666667</v>
      </c>
      <c r="O29" s="74">
        <f>AVERAGE(I29:N29)</f>
        <v>10201.666333333334</v>
      </c>
      <c r="P29" s="133">
        <v>9348.6663333333345</v>
      </c>
      <c r="Q29" s="131">
        <v>12964.666333333334</v>
      </c>
      <c r="R29" s="131">
        <v>11218.666333333334</v>
      </c>
      <c r="S29" s="131">
        <v>8663.6663333333345</v>
      </c>
      <c r="T29" s="131">
        <v>12095.666333333334</v>
      </c>
      <c r="U29" s="132">
        <v>21021.666333333334</v>
      </c>
      <c r="V29" s="74">
        <f>AVERAGE(P29:U29)</f>
        <v>12552.166333333334</v>
      </c>
    </row>
    <row r="30" spans="1:22" x14ac:dyDescent="0.25">
      <c r="A30" s="134" t="s">
        <v>53</v>
      </c>
      <c r="B30" s="135">
        <v>6948.6666666666661</v>
      </c>
      <c r="C30" s="136">
        <v>9352.6666666666661</v>
      </c>
      <c r="D30" s="136">
        <v>13538.666666666666</v>
      </c>
      <c r="E30" s="136">
        <v>7796.6666666666661</v>
      </c>
      <c r="F30" s="136">
        <v>9550.6666666666661</v>
      </c>
      <c r="G30" s="137">
        <v>7179.6666666666661</v>
      </c>
      <c r="H30" s="81">
        <f t="shared" ref="H30:H35" si="6">AVERAGE(B30:G30)</f>
        <v>9061.1666666666661</v>
      </c>
      <c r="I30" s="135">
        <v>5999.1666666666661</v>
      </c>
      <c r="J30" s="136">
        <v>6259.1666666666661</v>
      </c>
      <c r="K30" s="136">
        <v>9020.1666666666661</v>
      </c>
      <c r="L30" s="136">
        <v>5622.1666666666661</v>
      </c>
      <c r="M30" s="136">
        <v>9905.1666666666661</v>
      </c>
      <c r="N30" s="137">
        <v>7344.1666666666661</v>
      </c>
      <c r="O30" s="81">
        <f t="shared" ref="O30:O35" si="7">AVERAGE(I30:N30)</f>
        <v>7358.3333333333321</v>
      </c>
      <c r="P30" s="138">
        <v>5796.1666666666661</v>
      </c>
      <c r="Q30" s="136">
        <v>10441.166666666666</v>
      </c>
      <c r="R30" s="136">
        <v>13123.166666666666</v>
      </c>
      <c r="S30" s="136">
        <v>7540.1666666666661</v>
      </c>
      <c r="T30" s="136">
        <v>12020.166666666666</v>
      </c>
      <c r="U30" s="137">
        <v>14685.166666666666</v>
      </c>
      <c r="V30" s="81">
        <f t="shared" ref="V30:V35" si="8">AVERAGE(P30:U30)</f>
        <v>10600.999999999998</v>
      </c>
    </row>
    <row r="31" spans="1:22" x14ac:dyDescent="0.25">
      <c r="A31" s="134" t="s">
        <v>54</v>
      </c>
      <c r="B31" s="135">
        <v>13967.333000000001</v>
      </c>
      <c r="C31" s="136">
        <v>5472.3330000000005</v>
      </c>
      <c r="D31" s="136">
        <v>6105.3330000000005</v>
      </c>
      <c r="E31" s="136">
        <v>4787.3330000000005</v>
      </c>
      <c r="F31" s="136">
        <v>6088.3330000000005</v>
      </c>
      <c r="G31" s="137">
        <v>4602.3330000000005</v>
      </c>
      <c r="H31" s="81">
        <f t="shared" si="6"/>
        <v>6837.1663333333336</v>
      </c>
      <c r="I31" s="135">
        <v>8997.4996666666666</v>
      </c>
      <c r="J31" s="136">
        <v>5838.4996666666666</v>
      </c>
      <c r="K31" s="136">
        <v>7302.4996666666666</v>
      </c>
      <c r="L31" s="136">
        <v>3478.4996666666666</v>
      </c>
      <c r="M31" s="136">
        <v>3598.4996666666666</v>
      </c>
      <c r="N31" s="137">
        <v>2559.4996666666666</v>
      </c>
      <c r="O31" s="81">
        <f t="shared" si="7"/>
        <v>5295.8329999999996</v>
      </c>
      <c r="P31" s="138">
        <v>14722.833000000001</v>
      </c>
      <c r="Q31" s="136">
        <v>14371.833000000001</v>
      </c>
      <c r="R31" s="136">
        <v>20062.832999999999</v>
      </c>
      <c r="S31" s="136">
        <v>4411.8330000000005</v>
      </c>
      <c r="T31" s="136">
        <v>13144.833000000001</v>
      </c>
      <c r="U31" s="137">
        <v>5670.8330000000005</v>
      </c>
      <c r="V31" s="81">
        <f t="shared" si="8"/>
        <v>12064.166333333333</v>
      </c>
    </row>
    <row r="32" spans="1:22" x14ac:dyDescent="0.25">
      <c r="A32" s="134" t="s">
        <v>55</v>
      </c>
      <c r="B32" s="135">
        <v>3486.3333333333335</v>
      </c>
      <c r="C32" s="136">
        <v>7015.3333333333339</v>
      </c>
      <c r="D32" s="136">
        <v>8905.3333333333339</v>
      </c>
      <c r="E32" s="136">
        <v>5397.3333333333339</v>
      </c>
      <c r="F32" s="136">
        <v>5333.3333333333339</v>
      </c>
      <c r="G32" s="137">
        <v>6868.3333333333339</v>
      </c>
      <c r="H32" s="81">
        <f t="shared" si="6"/>
        <v>6167.6666666666679</v>
      </c>
      <c r="I32" s="135">
        <v>6369.3333333333339</v>
      </c>
      <c r="J32" s="136">
        <v>6149.3333333333339</v>
      </c>
      <c r="K32" s="136">
        <v>6838.3333333333339</v>
      </c>
      <c r="L32" s="136">
        <v>3015.3333333333335</v>
      </c>
      <c r="M32" s="136">
        <v>3491.3333333333335</v>
      </c>
      <c r="N32" s="137">
        <v>6913.3333333333339</v>
      </c>
      <c r="O32" s="81">
        <f t="shared" si="7"/>
        <v>5462.833333333333</v>
      </c>
      <c r="P32" s="138">
        <v>5570</v>
      </c>
      <c r="Q32" s="136">
        <v>9580</v>
      </c>
      <c r="R32" s="136">
        <v>17196</v>
      </c>
      <c r="S32" s="136">
        <v>5212</v>
      </c>
      <c r="T32" s="136">
        <v>8658</v>
      </c>
      <c r="U32" s="137">
        <v>6020</v>
      </c>
      <c r="V32" s="81">
        <f t="shared" si="8"/>
        <v>8706</v>
      </c>
    </row>
    <row r="33" spans="1:22" x14ac:dyDescent="0.25">
      <c r="A33" s="134" t="s">
        <v>56</v>
      </c>
      <c r="B33" s="135">
        <v>16412.666333333334</v>
      </c>
      <c r="C33" s="136">
        <v>6049.6663333333336</v>
      </c>
      <c r="D33" s="136">
        <v>21122.666333333334</v>
      </c>
      <c r="E33" s="136">
        <v>5590.6663333333336</v>
      </c>
      <c r="F33" s="136">
        <v>9728.6663333333345</v>
      </c>
      <c r="G33" s="137">
        <v>10443.666333333334</v>
      </c>
      <c r="H33" s="81">
        <f t="shared" si="6"/>
        <v>11557.999666666668</v>
      </c>
      <c r="I33" s="135">
        <v>4903.3330000000005</v>
      </c>
      <c r="J33" s="136">
        <v>7040.3330000000005</v>
      </c>
      <c r="K33" s="136">
        <v>5529.3330000000005</v>
      </c>
      <c r="L33" s="136">
        <v>1691.3330000000001</v>
      </c>
      <c r="M33" s="136">
        <v>1619.3330000000001</v>
      </c>
      <c r="N33" s="137">
        <v>1622.3330000000001</v>
      </c>
      <c r="O33" s="81">
        <f t="shared" si="7"/>
        <v>3734.3330000000001</v>
      </c>
      <c r="P33" s="138">
        <v>14380.499666666667</v>
      </c>
      <c r="Q33" s="136">
        <v>7053.4996666666666</v>
      </c>
      <c r="R33" s="136">
        <v>11807.499666666667</v>
      </c>
      <c r="S33" s="136">
        <v>5950.4996666666666</v>
      </c>
      <c r="T33" s="136">
        <v>4993.4996666666666</v>
      </c>
      <c r="U33" s="137">
        <v>4558.4996666666666</v>
      </c>
      <c r="V33" s="81">
        <f t="shared" si="8"/>
        <v>8123.9996666666675</v>
      </c>
    </row>
    <row r="34" spans="1:22" x14ac:dyDescent="0.25">
      <c r="A34" s="134" t="s">
        <v>57</v>
      </c>
      <c r="B34" s="135">
        <v>12581.333000000001</v>
      </c>
      <c r="C34" s="136">
        <v>11789.333000000001</v>
      </c>
      <c r="D34" s="136">
        <v>13821.333000000001</v>
      </c>
      <c r="E34" s="136">
        <v>9343.3330000000005</v>
      </c>
      <c r="F34" s="136">
        <v>12173.333000000001</v>
      </c>
      <c r="G34" s="137">
        <v>20414.332999999999</v>
      </c>
      <c r="H34" s="81">
        <f t="shared" si="6"/>
        <v>13353.832999999999</v>
      </c>
      <c r="I34" s="135">
        <v>5635.3330000000005</v>
      </c>
      <c r="J34" s="136">
        <v>4775.3330000000005</v>
      </c>
      <c r="K34" s="136">
        <v>3318.3330000000001</v>
      </c>
      <c r="L34" s="136">
        <v>3006.3330000000001</v>
      </c>
      <c r="M34" s="136">
        <v>2686.3330000000001</v>
      </c>
      <c r="N34" s="137">
        <v>2999.3330000000001</v>
      </c>
      <c r="O34" s="81">
        <f t="shared" si="7"/>
        <v>3736.8330000000001</v>
      </c>
      <c r="P34" s="138">
        <v>37263.832999999999</v>
      </c>
      <c r="Q34" s="136">
        <v>13057.833000000001</v>
      </c>
      <c r="R34" s="136">
        <v>14422.833000000001</v>
      </c>
      <c r="S34" s="136">
        <v>7672.8330000000005</v>
      </c>
      <c r="T34" s="136">
        <v>8035.8330000000005</v>
      </c>
      <c r="U34" s="137">
        <v>8597.8330000000005</v>
      </c>
      <c r="V34" s="81">
        <f t="shared" si="8"/>
        <v>14841.832999999999</v>
      </c>
    </row>
    <row r="35" spans="1:22" ht="15.75" thickBot="1" x14ac:dyDescent="0.3">
      <c r="A35" s="139" t="s">
        <v>58</v>
      </c>
      <c r="B35" s="140">
        <v>28143.5</v>
      </c>
      <c r="C35" s="141">
        <v>32138.5</v>
      </c>
      <c r="D35" s="141">
        <v>40625.5</v>
      </c>
      <c r="E35" s="141">
        <v>38806.5</v>
      </c>
      <c r="F35" s="141">
        <v>63691.5</v>
      </c>
      <c r="G35" s="142">
        <v>30843.5</v>
      </c>
      <c r="H35" s="83">
        <f t="shared" si="6"/>
        <v>39041.5</v>
      </c>
      <c r="I35" s="140">
        <v>8022.8333333333339</v>
      </c>
      <c r="J35" s="141">
        <v>7319.8333333333339</v>
      </c>
      <c r="K35" s="141">
        <v>10101.833333333334</v>
      </c>
      <c r="L35" s="141">
        <v>10764.833333333334</v>
      </c>
      <c r="M35" s="141">
        <v>19200.833333333332</v>
      </c>
      <c r="N35" s="142">
        <v>11438.833333333334</v>
      </c>
      <c r="O35" s="83">
        <f t="shared" si="7"/>
        <v>11141.5</v>
      </c>
      <c r="P35" s="143">
        <v>28675.166666666668</v>
      </c>
      <c r="Q35" s="141">
        <v>31059.166666666668</v>
      </c>
      <c r="R35" s="141">
        <v>37470.166666666664</v>
      </c>
      <c r="S35" s="141">
        <v>28532.166666666668</v>
      </c>
      <c r="T35" s="141">
        <v>39451.166666666664</v>
      </c>
      <c r="U35" s="142">
        <v>17874.166666666668</v>
      </c>
      <c r="V35" s="83">
        <f t="shared" si="8"/>
        <v>30510.333333333332</v>
      </c>
    </row>
    <row r="36" spans="1:22" x14ac:dyDescent="0.25">
      <c r="A36" s="402" t="s">
        <v>117</v>
      </c>
      <c r="B36" s="348">
        <v>20234.999666666667</v>
      </c>
      <c r="C36" s="349">
        <v>26712.999666666667</v>
      </c>
      <c r="D36" s="349">
        <v>22704.999666666667</v>
      </c>
      <c r="E36" s="349">
        <v>33555.99966666667</v>
      </c>
      <c r="F36" s="349">
        <v>28401.999666666667</v>
      </c>
      <c r="G36" s="353">
        <v>9074.9996666666666</v>
      </c>
      <c r="H36" s="323">
        <v>23447.666333333331</v>
      </c>
      <c r="I36" s="348">
        <v>3840.6663333333327</v>
      </c>
      <c r="J36" s="349">
        <v>6285.6663333333327</v>
      </c>
      <c r="K36" s="349">
        <v>6230.6663333333327</v>
      </c>
      <c r="L36" s="349">
        <v>7325.6663333333327</v>
      </c>
      <c r="M36" s="349">
        <v>5128.6663333333327</v>
      </c>
      <c r="N36" s="353">
        <v>2462.6663333333327</v>
      </c>
      <c r="O36" s="323">
        <v>5212.3329999999996</v>
      </c>
      <c r="P36" s="348">
        <v>6836.9996666666666</v>
      </c>
      <c r="Q36" s="349">
        <v>4770.9996666666666</v>
      </c>
      <c r="R36" s="349">
        <v>5650.9996666666666</v>
      </c>
      <c r="S36" s="349">
        <v>6945.9996666666666</v>
      </c>
      <c r="T36" s="349">
        <v>6599.9996666666666</v>
      </c>
      <c r="U36" s="353">
        <v>4794.9996666666666</v>
      </c>
      <c r="V36" s="377">
        <v>5933.3329999999996</v>
      </c>
    </row>
    <row r="37" spans="1:22" ht="15.75" thickBot="1" x14ac:dyDescent="0.3">
      <c r="A37" s="403" t="s">
        <v>118</v>
      </c>
      <c r="B37" s="363">
        <v>5607.166666666667</v>
      </c>
      <c r="C37" s="344">
        <v>3074.166666666667</v>
      </c>
      <c r="D37" s="344">
        <v>3410.166666666667</v>
      </c>
      <c r="E37" s="344">
        <v>5272.166666666667</v>
      </c>
      <c r="F37" s="344">
        <v>5473.166666666667</v>
      </c>
      <c r="G37" s="346">
        <v>1916.166666666667</v>
      </c>
      <c r="H37" s="333">
        <v>4125.5000000000009</v>
      </c>
      <c r="I37" s="363">
        <v>1455.333333333333</v>
      </c>
      <c r="J37" s="344">
        <v>971.33333333333303</v>
      </c>
      <c r="K37" s="344">
        <v>1004.333333333333</v>
      </c>
      <c r="L37" s="344">
        <v>756.33333333333303</v>
      </c>
      <c r="M37" s="344">
        <v>1085.333333333333</v>
      </c>
      <c r="N37" s="346">
        <v>436.33333333333303</v>
      </c>
      <c r="O37" s="333">
        <v>951.49999999999966</v>
      </c>
      <c r="P37" s="363">
        <v>1600.833333333333</v>
      </c>
      <c r="Q37" s="344">
        <v>1736.833333333333</v>
      </c>
      <c r="R37" s="344">
        <v>1254.833333333333</v>
      </c>
      <c r="S37" s="344">
        <v>1654.833333333333</v>
      </c>
      <c r="T37" s="344">
        <v>1134.833333333333</v>
      </c>
      <c r="U37" s="346">
        <v>1173.833333333333</v>
      </c>
      <c r="V37" s="404">
        <v>1425.9999999999998</v>
      </c>
    </row>
    <row r="39" spans="1:22" ht="15.75" thickBot="1" x14ac:dyDescent="0.3"/>
    <row r="40" spans="1:22" ht="15.75" thickBot="1" x14ac:dyDescent="0.3">
      <c r="A40" s="614" t="s">
        <v>11</v>
      </c>
      <c r="B40" s="616" t="s">
        <v>59</v>
      </c>
      <c r="C40" s="617"/>
      <c r="D40" s="617"/>
      <c r="E40" s="617"/>
      <c r="F40" s="617"/>
      <c r="G40" s="617"/>
      <c r="H40" s="618"/>
      <c r="I40" s="619" t="s">
        <v>60</v>
      </c>
      <c r="J40" s="617"/>
      <c r="K40" s="617"/>
      <c r="L40" s="617"/>
      <c r="M40" s="617"/>
      <c r="N40" s="617"/>
      <c r="O40" s="620"/>
      <c r="P40" s="616" t="s">
        <v>103</v>
      </c>
      <c r="Q40" s="617"/>
      <c r="R40" s="617"/>
      <c r="S40" s="617"/>
      <c r="T40" s="617"/>
      <c r="U40" s="617"/>
      <c r="V40" s="618"/>
    </row>
    <row r="41" spans="1:22" ht="15.75" thickBot="1" x14ac:dyDescent="0.3">
      <c r="A41" s="615"/>
      <c r="B41" s="144">
        <v>1</v>
      </c>
      <c r="C41" s="145">
        <v>2</v>
      </c>
      <c r="D41" s="145">
        <v>3</v>
      </c>
      <c r="E41" s="145">
        <v>4</v>
      </c>
      <c r="F41" s="145">
        <v>5</v>
      </c>
      <c r="G41" s="146">
        <v>6</v>
      </c>
      <c r="H41" s="147" t="s">
        <v>52</v>
      </c>
      <c r="I41" s="148">
        <v>1</v>
      </c>
      <c r="J41" s="145">
        <v>2</v>
      </c>
      <c r="K41" s="145">
        <v>3</v>
      </c>
      <c r="L41" s="145">
        <v>4</v>
      </c>
      <c r="M41" s="145">
        <v>5</v>
      </c>
      <c r="N41" s="146">
        <v>6</v>
      </c>
      <c r="O41" s="147" t="s">
        <v>52</v>
      </c>
      <c r="P41" s="144">
        <v>1</v>
      </c>
      <c r="Q41" s="145">
        <v>2</v>
      </c>
      <c r="R41" s="145">
        <v>3</v>
      </c>
      <c r="S41" s="145">
        <v>4</v>
      </c>
      <c r="T41" s="145">
        <v>5</v>
      </c>
      <c r="U41" s="146">
        <v>6</v>
      </c>
      <c r="V41" s="147" t="s">
        <v>52</v>
      </c>
    </row>
    <row r="42" spans="1:22" x14ac:dyDescent="0.25">
      <c r="A42" s="149" t="s">
        <v>51</v>
      </c>
      <c r="B42" s="150">
        <v>8799.4996666666666</v>
      </c>
      <c r="C42" s="151">
        <v>6470.4996666666666</v>
      </c>
      <c r="D42" s="151">
        <v>7158.4996666666666</v>
      </c>
      <c r="E42" s="151">
        <v>7891.4996666666666</v>
      </c>
      <c r="F42" s="151">
        <v>7071.4996666666666</v>
      </c>
      <c r="G42" s="151">
        <v>4180.4996666666666</v>
      </c>
      <c r="H42" s="161">
        <f>AVERAGE(B42:G42)</f>
        <v>6928.6663333333345</v>
      </c>
      <c r="I42" s="150">
        <v>7134.9996666666666</v>
      </c>
      <c r="J42" s="151">
        <v>6357.9996666666666</v>
      </c>
      <c r="K42" s="151">
        <v>8257.9996666666666</v>
      </c>
      <c r="L42" s="151">
        <v>8818.9996666666666</v>
      </c>
      <c r="M42" s="151">
        <v>9252.9996666666666</v>
      </c>
      <c r="N42" s="151">
        <v>4794.9996666666666</v>
      </c>
      <c r="O42" s="161">
        <f>AVERAGE(I42:N42)</f>
        <v>7436.3330000000014</v>
      </c>
      <c r="P42" s="152">
        <v>7907.4996666666666</v>
      </c>
      <c r="Q42" s="151">
        <v>7219.4996666666666</v>
      </c>
      <c r="R42" s="151">
        <v>8581.4996666666666</v>
      </c>
      <c r="S42" s="151">
        <v>6251.4996666666666</v>
      </c>
      <c r="T42" s="151">
        <v>6113.4996666666666</v>
      </c>
      <c r="U42" s="151">
        <v>6037.4996666666666</v>
      </c>
      <c r="V42" s="161">
        <f>AVERAGE(P42:U42)</f>
        <v>7018.4996666666675</v>
      </c>
    </row>
    <row r="43" spans="1:22" x14ac:dyDescent="0.25">
      <c r="A43" s="153" t="s">
        <v>53</v>
      </c>
      <c r="B43" s="154">
        <v>6432.6666666666661</v>
      </c>
      <c r="C43" s="155">
        <v>7257.6666666666661</v>
      </c>
      <c r="D43" s="155">
        <v>9509.6666666666661</v>
      </c>
      <c r="E43" s="155">
        <v>8996.6666666666661</v>
      </c>
      <c r="F43" s="155">
        <v>11162.666666666666</v>
      </c>
      <c r="G43" s="155">
        <v>6628.6666666666661</v>
      </c>
      <c r="H43" s="162">
        <f t="shared" ref="H43:H48" si="9">AVERAGE(B43:G43)</f>
        <v>8331.3333333333321</v>
      </c>
      <c r="I43" s="154">
        <v>8406.1666666666661</v>
      </c>
      <c r="J43" s="155">
        <v>7215.1666666666661</v>
      </c>
      <c r="K43" s="155">
        <v>7262.1666666666661</v>
      </c>
      <c r="L43" s="155">
        <v>7092.1666666666661</v>
      </c>
      <c r="M43" s="155">
        <v>8728.1666666666661</v>
      </c>
      <c r="N43" s="155">
        <v>4401.1666666666661</v>
      </c>
      <c r="O43" s="162">
        <f t="shared" ref="O43:O48" si="10">AVERAGE(I43:N43)</f>
        <v>7184.1666666666652</v>
      </c>
      <c r="P43" s="156">
        <v>7681.5</v>
      </c>
      <c r="Q43" s="155">
        <v>6475.5</v>
      </c>
      <c r="R43" s="155">
        <v>5917.5</v>
      </c>
      <c r="S43" s="155">
        <v>7857.5</v>
      </c>
      <c r="T43" s="155">
        <v>4891.5</v>
      </c>
      <c r="U43" s="155">
        <v>7515.5</v>
      </c>
      <c r="V43" s="162">
        <f t="shared" ref="V43:V48" si="11">AVERAGE(P43:U43)</f>
        <v>6723.166666666667</v>
      </c>
    </row>
    <row r="44" spans="1:22" x14ac:dyDescent="0.25">
      <c r="A44" s="153" t="s">
        <v>54</v>
      </c>
      <c r="B44" s="154">
        <v>3612.9996666666666</v>
      </c>
      <c r="C44" s="155">
        <v>3855.9996666666666</v>
      </c>
      <c r="D44" s="155">
        <v>4484.9996666666666</v>
      </c>
      <c r="E44" s="155">
        <v>5275.9996666666666</v>
      </c>
      <c r="F44" s="155">
        <v>5439.9996666666666</v>
      </c>
      <c r="G44" s="155">
        <v>2015.9996666666666</v>
      </c>
      <c r="H44" s="162">
        <f t="shared" si="9"/>
        <v>4114.3329999999996</v>
      </c>
      <c r="I44" s="154">
        <v>5448.9996666666666</v>
      </c>
      <c r="J44" s="155">
        <v>4896.9996666666666</v>
      </c>
      <c r="K44" s="155">
        <v>6069.9996666666666</v>
      </c>
      <c r="L44" s="155">
        <v>4398.9996666666666</v>
      </c>
      <c r="M44" s="155">
        <v>5139.9996666666666</v>
      </c>
      <c r="N44" s="155">
        <v>5404.9996666666666</v>
      </c>
      <c r="O44" s="162">
        <f t="shared" si="10"/>
        <v>5226.6663333333336</v>
      </c>
      <c r="P44" s="156">
        <v>2638.1663333333336</v>
      </c>
      <c r="Q44" s="155">
        <v>2427.1663333333336</v>
      </c>
      <c r="R44" s="155">
        <v>3858.1663333333336</v>
      </c>
      <c r="S44" s="155">
        <v>4657.1663333333336</v>
      </c>
      <c r="T44" s="155">
        <v>2879.1663333333336</v>
      </c>
      <c r="U44" s="155">
        <v>2049.1663333333336</v>
      </c>
      <c r="V44" s="162">
        <f t="shared" si="11"/>
        <v>3084.8330000000005</v>
      </c>
    </row>
    <row r="45" spans="1:22" x14ac:dyDescent="0.25">
      <c r="A45" s="153" t="s">
        <v>55</v>
      </c>
      <c r="B45" s="154">
        <v>5211.5</v>
      </c>
      <c r="C45" s="155">
        <v>4403.5</v>
      </c>
      <c r="D45" s="155">
        <v>4515.5</v>
      </c>
      <c r="E45" s="155">
        <v>6067.5</v>
      </c>
      <c r="F45" s="155">
        <v>3174.5</v>
      </c>
      <c r="G45" s="155">
        <v>2432.5</v>
      </c>
      <c r="H45" s="162">
        <f t="shared" si="9"/>
        <v>4300.833333333333</v>
      </c>
      <c r="I45" s="154">
        <v>4511.8333333333339</v>
      </c>
      <c r="J45" s="155">
        <v>5346.8333333333339</v>
      </c>
      <c r="K45" s="155">
        <v>6428.8333333333339</v>
      </c>
      <c r="L45" s="155">
        <v>5867.8333333333339</v>
      </c>
      <c r="M45" s="155">
        <v>4441.8333333333339</v>
      </c>
      <c r="N45" s="155">
        <v>2003.8333333333335</v>
      </c>
      <c r="O45" s="162">
        <f t="shared" si="10"/>
        <v>4766.8333333333339</v>
      </c>
      <c r="P45" s="156">
        <v>2637.8333333333335</v>
      </c>
      <c r="Q45" s="155">
        <v>1159.8333333333335</v>
      </c>
      <c r="R45" s="155">
        <v>2269.8333333333335</v>
      </c>
      <c r="S45" s="155">
        <v>2346.8333333333335</v>
      </c>
      <c r="T45" s="155">
        <v>2166.8333333333335</v>
      </c>
      <c r="U45" s="155">
        <v>2731.8333333333335</v>
      </c>
      <c r="V45" s="162">
        <f t="shared" si="11"/>
        <v>2218.8333333333335</v>
      </c>
    </row>
    <row r="46" spans="1:22" x14ac:dyDescent="0.25">
      <c r="A46" s="153" t="s">
        <v>56</v>
      </c>
      <c r="B46" s="154">
        <v>3187.6663333333336</v>
      </c>
      <c r="C46" s="155">
        <v>1875.6663333333336</v>
      </c>
      <c r="D46" s="155">
        <v>6298.6663333333336</v>
      </c>
      <c r="E46" s="155">
        <v>2612.6663333333336</v>
      </c>
      <c r="F46" s="155">
        <v>3155.6663333333336</v>
      </c>
      <c r="G46" s="155">
        <v>6694.6663333333336</v>
      </c>
      <c r="H46" s="162">
        <f t="shared" si="9"/>
        <v>3970.8330000000005</v>
      </c>
      <c r="I46" s="154">
        <v>2401.9996666666666</v>
      </c>
      <c r="J46" s="155">
        <v>1380.9996666666666</v>
      </c>
      <c r="K46" s="155">
        <v>3436.9996666666666</v>
      </c>
      <c r="L46" s="155">
        <v>1893.9996666666666</v>
      </c>
      <c r="M46" s="155">
        <v>2816.9996666666666</v>
      </c>
      <c r="N46" s="155">
        <v>6108.9996666666666</v>
      </c>
      <c r="O46" s="162">
        <f t="shared" si="10"/>
        <v>3006.6663333333331</v>
      </c>
      <c r="P46" s="156">
        <v>3923.4996666666666</v>
      </c>
      <c r="Q46" s="155">
        <v>1620.4996666666666</v>
      </c>
      <c r="R46" s="155">
        <v>2483.4996666666666</v>
      </c>
      <c r="S46" s="155">
        <v>2161.4996666666666</v>
      </c>
      <c r="T46" s="155">
        <v>2769.4996666666666</v>
      </c>
      <c r="U46" s="155">
        <v>5234.4996666666666</v>
      </c>
      <c r="V46" s="162">
        <f t="shared" si="11"/>
        <v>3032.1663333333331</v>
      </c>
    </row>
    <row r="47" spans="1:22" x14ac:dyDescent="0.25">
      <c r="A47" s="153" t="s">
        <v>57</v>
      </c>
      <c r="B47" s="154">
        <v>3244.8330000000001</v>
      </c>
      <c r="C47" s="155">
        <v>3155.8330000000001</v>
      </c>
      <c r="D47" s="155">
        <v>4615.8330000000005</v>
      </c>
      <c r="E47" s="155">
        <v>4551.8330000000005</v>
      </c>
      <c r="F47" s="155">
        <v>2791.8330000000001</v>
      </c>
      <c r="G47" s="155">
        <v>8280.8330000000005</v>
      </c>
      <c r="H47" s="162">
        <f t="shared" si="9"/>
        <v>4440.1663333333336</v>
      </c>
      <c r="I47" s="154">
        <v>4465.1663333333336</v>
      </c>
      <c r="J47" s="155">
        <v>2361.1663333333336</v>
      </c>
      <c r="K47" s="155">
        <v>3594.1663333333336</v>
      </c>
      <c r="L47" s="155">
        <v>2848.1663333333336</v>
      </c>
      <c r="M47" s="155">
        <v>5476.1663333333336</v>
      </c>
      <c r="N47" s="155">
        <v>2500.1663333333336</v>
      </c>
      <c r="O47" s="162">
        <f t="shared" si="10"/>
        <v>3540.8330000000005</v>
      </c>
      <c r="P47" s="156">
        <v>1607.6663333333336</v>
      </c>
      <c r="Q47" s="155">
        <v>3924.6663333333336</v>
      </c>
      <c r="R47" s="155">
        <v>2459.6663333333336</v>
      </c>
      <c r="S47" s="155">
        <v>2579.6663333333336</v>
      </c>
      <c r="T47" s="155">
        <v>2348.6663333333336</v>
      </c>
      <c r="U47" s="155">
        <v>3147.6663333333336</v>
      </c>
      <c r="V47" s="162">
        <f t="shared" si="11"/>
        <v>2677.9996666666671</v>
      </c>
    </row>
    <row r="48" spans="1:22" ht="15.75" thickBot="1" x14ac:dyDescent="0.3">
      <c r="A48" s="157" t="s">
        <v>58</v>
      </c>
      <c r="B48" s="158">
        <v>15332.666666666666</v>
      </c>
      <c r="C48" s="159">
        <v>11220.666666666666</v>
      </c>
      <c r="D48" s="159">
        <v>15290.666666666666</v>
      </c>
      <c r="E48" s="159">
        <v>14715.666666666666</v>
      </c>
      <c r="F48" s="159">
        <v>10866.666666666666</v>
      </c>
      <c r="G48" s="159">
        <v>11426.666666666666</v>
      </c>
      <c r="H48" s="163">
        <f t="shared" si="9"/>
        <v>13142.166666666666</v>
      </c>
      <c r="I48" s="158">
        <v>16342</v>
      </c>
      <c r="J48" s="159">
        <v>14952</v>
      </c>
      <c r="K48" s="159">
        <v>16065</v>
      </c>
      <c r="L48" s="159">
        <v>18146</v>
      </c>
      <c r="M48" s="159">
        <v>14306</v>
      </c>
      <c r="N48" s="159">
        <v>11332</v>
      </c>
      <c r="O48" s="163">
        <f t="shared" si="10"/>
        <v>15190.5</v>
      </c>
      <c r="P48" s="160">
        <v>6224.3333333333339</v>
      </c>
      <c r="Q48" s="159">
        <v>2729.3333333333335</v>
      </c>
      <c r="R48" s="159">
        <v>7391.3333333333339</v>
      </c>
      <c r="S48" s="159">
        <v>6638.3333333333339</v>
      </c>
      <c r="T48" s="159">
        <v>7240.3333333333339</v>
      </c>
      <c r="U48" s="159">
        <v>12283.333333333334</v>
      </c>
      <c r="V48" s="163">
        <f t="shared" si="11"/>
        <v>7084.5000000000009</v>
      </c>
    </row>
    <row r="49" spans="1:22" x14ac:dyDescent="0.25">
      <c r="A49" s="405" t="s">
        <v>117</v>
      </c>
      <c r="B49" s="150">
        <v>2847.8329999999996</v>
      </c>
      <c r="C49" s="151">
        <v>9719.8329999999987</v>
      </c>
      <c r="D49" s="151">
        <v>12057.832999999999</v>
      </c>
      <c r="E49" s="151">
        <v>10850.832999999999</v>
      </c>
      <c r="F49" s="151">
        <v>13206.832999999999</v>
      </c>
      <c r="G49" s="185">
        <v>13360.832999999999</v>
      </c>
      <c r="H49" s="406">
        <v>10340.666333333333</v>
      </c>
      <c r="I49" s="150">
        <v>1472.1663333333327</v>
      </c>
      <c r="J49" s="151">
        <v>3667.1663333333327</v>
      </c>
      <c r="K49" s="151">
        <v>4947.1663333333327</v>
      </c>
      <c r="L49" s="151">
        <v>3758.1663333333327</v>
      </c>
      <c r="M49" s="151">
        <v>4326.1663333333327</v>
      </c>
      <c r="N49" s="185">
        <v>5217.1663333333327</v>
      </c>
      <c r="O49" s="406">
        <v>3897.9996666666666</v>
      </c>
      <c r="P49" s="150">
        <v>6238.6663333333327</v>
      </c>
      <c r="Q49" s="151">
        <v>12393.666333333333</v>
      </c>
      <c r="R49" s="151">
        <v>10760.666333333333</v>
      </c>
      <c r="S49" s="151">
        <v>16167.666333333333</v>
      </c>
      <c r="T49" s="151">
        <v>9861.6663333333327</v>
      </c>
      <c r="U49" s="185">
        <v>9195.6663333333327</v>
      </c>
      <c r="V49" s="269">
        <v>10769.666333333333</v>
      </c>
    </row>
    <row r="50" spans="1:22" ht="15.75" thickBot="1" x14ac:dyDescent="0.3">
      <c r="A50" s="157" t="s">
        <v>118</v>
      </c>
      <c r="B50" s="158">
        <v>-9.5003333333334012</v>
      </c>
      <c r="C50" s="159">
        <v>-172.5003333333334</v>
      </c>
      <c r="D50" s="159">
        <v>-249.5003333333334</v>
      </c>
      <c r="E50" s="159">
        <v>-129.5003333333334</v>
      </c>
      <c r="F50" s="159">
        <v>-66.500333333333401</v>
      </c>
      <c r="G50" s="267">
        <v>-235.5003333333334</v>
      </c>
      <c r="H50" s="319">
        <v>-143.83366666666674</v>
      </c>
      <c r="I50" s="158">
        <v>-97</v>
      </c>
      <c r="J50" s="159">
        <v>-311</v>
      </c>
      <c r="K50" s="159">
        <v>-304</v>
      </c>
      <c r="L50" s="159">
        <v>-364</v>
      </c>
      <c r="M50" s="159">
        <v>-293</v>
      </c>
      <c r="N50" s="267">
        <v>-329</v>
      </c>
      <c r="O50" s="319">
        <v>-283</v>
      </c>
      <c r="P50" s="158">
        <v>102.83333333333303</v>
      </c>
      <c r="Q50" s="159">
        <v>-254.16666666666697</v>
      </c>
      <c r="R50" s="159">
        <v>-279.16666666666697</v>
      </c>
      <c r="S50" s="159">
        <v>-211.16666666666697</v>
      </c>
      <c r="T50" s="159">
        <v>-140.16666666666697</v>
      </c>
      <c r="U50" s="267">
        <v>-174.16666666666697</v>
      </c>
      <c r="V50" s="390">
        <v>-159.33333333333363</v>
      </c>
    </row>
  </sheetData>
  <mergeCells count="16">
    <mergeCell ref="B1:H1"/>
    <mergeCell ref="I1:O1"/>
    <mergeCell ref="P1:V1"/>
    <mergeCell ref="A1:A2"/>
    <mergeCell ref="A40:A41"/>
    <mergeCell ref="B40:H40"/>
    <mergeCell ref="I40:O40"/>
    <mergeCell ref="P40:V40"/>
    <mergeCell ref="A14:A15"/>
    <mergeCell ref="B14:H14"/>
    <mergeCell ref="I14:O14"/>
    <mergeCell ref="P14:V14"/>
    <mergeCell ref="A27:A28"/>
    <mergeCell ref="B27:H27"/>
    <mergeCell ref="I27:O27"/>
    <mergeCell ref="P27:V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6F79-B946-4191-A5C0-B14469A34EF4}">
  <dimension ref="A1:CM1016"/>
  <sheetViews>
    <sheetView topLeftCell="BN14" workbookViewId="0">
      <selection activeCell="BS62" sqref="BS62:CM62"/>
    </sheetView>
  </sheetViews>
  <sheetFormatPr defaultRowHeight="15" x14ac:dyDescent="0.25"/>
  <cols>
    <col min="1" max="1" width="21.140625" customWidth="1"/>
    <col min="8" max="8" width="9.140625" style="264"/>
    <col min="9" max="9" width="11" bestFit="1" customWidth="1"/>
    <col min="15" max="15" width="9.140625" style="264"/>
    <col min="16" max="16" width="11" bestFit="1" customWidth="1"/>
    <col min="22" max="22" width="9.140625" style="264"/>
    <col min="24" max="24" width="20.28515625" customWidth="1"/>
    <col min="47" max="47" width="21.28515625" customWidth="1"/>
    <col min="70" max="70" width="24.140625" customWidth="1"/>
  </cols>
  <sheetData>
    <row r="1" spans="1:91" x14ac:dyDescent="0.25">
      <c r="A1" s="638" t="s">
        <v>89</v>
      </c>
      <c r="B1" s="648" t="s">
        <v>69</v>
      </c>
      <c r="C1" s="641"/>
      <c r="D1" s="641"/>
      <c r="E1" s="641"/>
      <c r="F1" s="641"/>
      <c r="G1" s="649"/>
      <c r="H1" s="643" t="s">
        <v>52</v>
      </c>
      <c r="I1" s="640" t="s">
        <v>70</v>
      </c>
      <c r="J1" s="641"/>
      <c r="K1" s="641"/>
      <c r="L1" s="641"/>
      <c r="M1" s="641"/>
      <c r="N1" s="649"/>
      <c r="O1" s="643" t="s">
        <v>52</v>
      </c>
      <c r="P1" s="640" t="s">
        <v>71</v>
      </c>
      <c r="Q1" s="641"/>
      <c r="R1" s="641"/>
      <c r="S1" s="641"/>
      <c r="T1" s="641"/>
      <c r="U1" s="642"/>
      <c r="V1" s="643" t="s">
        <v>52</v>
      </c>
      <c r="X1" s="645" t="s">
        <v>90</v>
      </c>
      <c r="Y1" s="619" t="s">
        <v>69</v>
      </c>
      <c r="Z1" s="617"/>
      <c r="AA1" s="617"/>
      <c r="AB1" s="617"/>
      <c r="AC1" s="617"/>
      <c r="AD1" s="647"/>
      <c r="AE1" s="636" t="s">
        <v>52</v>
      </c>
      <c r="AF1" s="616" t="s">
        <v>70</v>
      </c>
      <c r="AG1" s="617"/>
      <c r="AH1" s="617"/>
      <c r="AI1" s="617"/>
      <c r="AJ1" s="617"/>
      <c r="AK1" s="647"/>
      <c r="AL1" s="636" t="s">
        <v>52</v>
      </c>
      <c r="AM1" s="616" t="s">
        <v>71</v>
      </c>
      <c r="AN1" s="617"/>
      <c r="AO1" s="617"/>
      <c r="AP1" s="617"/>
      <c r="AQ1" s="617"/>
      <c r="AR1" s="635"/>
      <c r="AS1" s="636" t="s">
        <v>52</v>
      </c>
      <c r="AU1" s="650" t="s">
        <v>68</v>
      </c>
      <c r="AV1" s="610" t="s">
        <v>69</v>
      </c>
      <c r="AW1" s="608"/>
      <c r="AX1" s="608"/>
      <c r="AY1" s="608"/>
      <c r="AZ1" s="608"/>
      <c r="BA1" s="652"/>
      <c r="BB1" s="653" t="s">
        <v>52</v>
      </c>
      <c r="BC1" s="607" t="s">
        <v>70</v>
      </c>
      <c r="BD1" s="608"/>
      <c r="BE1" s="608"/>
      <c r="BF1" s="608"/>
      <c r="BG1" s="608"/>
      <c r="BH1" s="652"/>
      <c r="BI1" s="653" t="s">
        <v>52</v>
      </c>
      <c r="BJ1" s="607" t="s">
        <v>71</v>
      </c>
      <c r="BK1" s="608"/>
      <c r="BL1" s="608"/>
      <c r="BM1" s="608"/>
      <c r="BN1" s="608"/>
      <c r="BO1" s="655"/>
      <c r="BP1" s="653" t="s">
        <v>52</v>
      </c>
      <c r="BR1" s="511" t="s">
        <v>72</v>
      </c>
      <c r="BS1" s="626" t="s">
        <v>69</v>
      </c>
      <c r="BT1" s="624"/>
      <c r="BU1" s="624"/>
      <c r="BV1" s="624"/>
      <c r="BW1" s="624"/>
      <c r="BX1" s="659"/>
      <c r="BY1" s="656" t="s">
        <v>52</v>
      </c>
      <c r="BZ1" s="623" t="s">
        <v>70</v>
      </c>
      <c r="CA1" s="624"/>
      <c r="CB1" s="624"/>
      <c r="CC1" s="624"/>
      <c r="CD1" s="624"/>
      <c r="CE1" s="659"/>
      <c r="CF1" s="656" t="s">
        <v>52</v>
      </c>
      <c r="CG1" s="623" t="s">
        <v>71</v>
      </c>
      <c r="CH1" s="624"/>
      <c r="CI1" s="624"/>
      <c r="CJ1" s="624"/>
      <c r="CK1" s="624"/>
      <c r="CL1" s="658"/>
      <c r="CM1" s="656" t="s">
        <v>52</v>
      </c>
    </row>
    <row r="2" spans="1:91" ht="15.75" thickBot="1" x14ac:dyDescent="0.3">
      <c r="A2" s="639"/>
      <c r="B2" s="343">
        <v>1</v>
      </c>
      <c r="C2" s="344">
        <v>2</v>
      </c>
      <c r="D2" s="344">
        <v>3</v>
      </c>
      <c r="E2" s="344">
        <v>4</v>
      </c>
      <c r="F2" s="344">
        <v>5</v>
      </c>
      <c r="G2" s="345">
        <v>6</v>
      </c>
      <c r="H2" s="644"/>
      <c r="I2" s="343">
        <v>1</v>
      </c>
      <c r="J2" s="344">
        <v>2</v>
      </c>
      <c r="K2" s="344">
        <v>3</v>
      </c>
      <c r="L2" s="344">
        <v>4</v>
      </c>
      <c r="M2" s="344">
        <v>5</v>
      </c>
      <c r="N2" s="345">
        <v>6</v>
      </c>
      <c r="O2" s="644"/>
      <c r="P2" s="343">
        <v>1</v>
      </c>
      <c r="Q2" s="344">
        <v>2</v>
      </c>
      <c r="R2" s="344">
        <v>3</v>
      </c>
      <c r="S2" s="344">
        <v>4</v>
      </c>
      <c r="T2" s="344">
        <v>5</v>
      </c>
      <c r="U2" s="346">
        <v>6</v>
      </c>
      <c r="V2" s="644"/>
      <c r="X2" s="646"/>
      <c r="Y2" s="160">
        <v>1</v>
      </c>
      <c r="Z2" s="159">
        <v>2</v>
      </c>
      <c r="AA2" s="159">
        <v>3</v>
      </c>
      <c r="AB2" s="159">
        <v>4</v>
      </c>
      <c r="AC2" s="159">
        <v>5</v>
      </c>
      <c r="AD2" s="266">
        <v>6</v>
      </c>
      <c r="AE2" s="637"/>
      <c r="AF2" s="160">
        <v>1</v>
      </c>
      <c r="AG2" s="159">
        <v>2</v>
      </c>
      <c r="AH2" s="159">
        <v>3</v>
      </c>
      <c r="AI2" s="159">
        <v>4</v>
      </c>
      <c r="AJ2" s="159">
        <v>5</v>
      </c>
      <c r="AK2" s="266">
        <v>6</v>
      </c>
      <c r="AL2" s="637"/>
      <c r="AM2" s="160">
        <v>1</v>
      </c>
      <c r="AN2" s="159">
        <v>2</v>
      </c>
      <c r="AO2" s="159">
        <v>3</v>
      </c>
      <c r="AP2" s="159">
        <v>4</v>
      </c>
      <c r="AQ2" s="159">
        <v>5</v>
      </c>
      <c r="AR2" s="267">
        <v>6</v>
      </c>
      <c r="AS2" s="637"/>
      <c r="AU2" s="651"/>
      <c r="AV2" s="91">
        <v>1</v>
      </c>
      <c r="AW2" s="89">
        <v>2</v>
      </c>
      <c r="AX2" s="89">
        <v>3</v>
      </c>
      <c r="AY2" s="89">
        <v>4</v>
      </c>
      <c r="AZ2" s="89">
        <v>5</v>
      </c>
      <c r="BA2" s="97">
        <v>6</v>
      </c>
      <c r="BB2" s="654"/>
      <c r="BC2" s="91">
        <v>1</v>
      </c>
      <c r="BD2" s="89">
        <v>2</v>
      </c>
      <c r="BE2" s="89">
        <v>3</v>
      </c>
      <c r="BF2" s="89">
        <v>4</v>
      </c>
      <c r="BG2" s="89">
        <v>5</v>
      </c>
      <c r="BH2" s="97">
        <v>6</v>
      </c>
      <c r="BI2" s="654"/>
      <c r="BJ2" s="91">
        <v>1</v>
      </c>
      <c r="BK2" s="89">
        <v>2</v>
      </c>
      <c r="BL2" s="89">
        <v>3</v>
      </c>
      <c r="BM2" s="89">
        <v>4</v>
      </c>
      <c r="BN2" s="89">
        <v>5</v>
      </c>
      <c r="BO2" s="200">
        <v>6</v>
      </c>
      <c r="BP2" s="654"/>
      <c r="BR2" s="512"/>
      <c r="BS2" s="118">
        <v>1</v>
      </c>
      <c r="BT2" s="116">
        <v>2</v>
      </c>
      <c r="BU2" s="116">
        <v>3</v>
      </c>
      <c r="BV2" s="116">
        <v>4</v>
      </c>
      <c r="BW2" s="116">
        <v>5</v>
      </c>
      <c r="BX2" s="117">
        <v>6</v>
      </c>
      <c r="BY2" s="657"/>
      <c r="BZ2" s="118">
        <v>1</v>
      </c>
      <c r="CA2" s="116">
        <v>2</v>
      </c>
      <c r="CB2" s="116">
        <v>3</v>
      </c>
      <c r="CC2" s="116">
        <v>4</v>
      </c>
      <c r="CD2" s="116">
        <v>5</v>
      </c>
      <c r="CE2" s="117">
        <v>6</v>
      </c>
      <c r="CF2" s="657"/>
      <c r="CG2" s="118">
        <v>1</v>
      </c>
      <c r="CH2" s="116">
        <v>2</v>
      </c>
      <c r="CI2" s="116">
        <v>3</v>
      </c>
      <c r="CJ2" s="116">
        <v>4</v>
      </c>
      <c r="CK2" s="116">
        <v>5</v>
      </c>
      <c r="CL2" s="201">
        <v>6</v>
      </c>
      <c r="CM2" s="657"/>
    </row>
    <row r="3" spans="1:91" x14ac:dyDescent="0.25">
      <c r="A3" s="347" t="s">
        <v>73</v>
      </c>
      <c r="B3" s="348">
        <v>32230</v>
      </c>
      <c r="C3" s="349">
        <v>12438</v>
      </c>
      <c r="D3" s="349">
        <v>17926</v>
      </c>
      <c r="E3" s="349">
        <v>17812</v>
      </c>
      <c r="F3" s="349">
        <v>17627</v>
      </c>
      <c r="G3" s="350">
        <v>13838</v>
      </c>
      <c r="H3" s="351">
        <f>AVERAGE(B3:G3)</f>
        <v>18645.166666666668</v>
      </c>
      <c r="I3" s="352">
        <v>8293</v>
      </c>
      <c r="J3" s="349">
        <v>12496</v>
      </c>
      <c r="K3" s="349">
        <v>13787</v>
      </c>
      <c r="L3" s="349">
        <v>14176</v>
      </c>
      <c r="M3" s="349">
        <v>12902</v>
      </c>
      <c r="N3" s="350">
        <v>21576</v>
      </c>
      <c r="O3" s="351">
        <f>AVERAGE(I3:N3)</f>
        <v>13871.666666666666</v>
      </c>
      <c r="P3" s="352">
        <v>13022</v>
      </c>
      <c r="Q3" s="349">
        <v>16638</v>
      </c>
      <c r="R3" s="349">
        <v>14892</v>
      </c>
      <c r="S3" s="349">
        <v>12337</v>
      </c>
      <c r="T3" s="349">
        <v>15769</v>
      </c>
      <c r="U3" s="353">
        <v>24695</v>
      </c>
      <c r="V3" s="351">
        <f>AVERAGE(P3:U3)</f>
        <v>16225.5</v>
      </c>
      <c r="X3" s="268" t="s">
        <v>73</v>
      </c>
      <c r="Y3" s="150">
        <v>12473</v>
      </c>
      <c r="Z3" s="151">
        <v>10144</v>
      </c>
      <c r="AA3" s="151">
        <v>10832</v>
      </c>
      <c r="AB3" s="151">
        <v>11565</v>
      </c>
      <c r="AC3" s="151">
        <v>10745</v>
      </c>
      <c r="AD3" s="270">
        <v>7854</v>
      </c>
      <c r="AE3" s="161">
        <f>AVERAGE(Y3:AD3)</f>
        <v>10602.166666666666</v>
      </c>
      <c r="AF3" s="152">
        <v>10806</v>
      </c>
      <c r="AG3" s="151">
        <v>10029</v>
      </c>
      <c r="AH3" s="151">
        <v>11929</v>
      </c>
      <c r="AI3" s="151">
        <v>12490</v>
      </c>
      <c r="AJ3" s="151">
        <v>12924</v>
      </c>
      <c r="AK3" s="270">
        <v>8466</v>
      </c>
      <c r="AL3" s="161">
        <f>AVERAGE(AF3:AK3)</f>
        <v>11107.333333333334</v>
      </c>
      <c r="AM3" s="152">
        <v>11581</v>
      </c>
      <c r="AN3" s="151">
        <v>10893</v>
      </c>
      <c r="AO3" s="151">
        <v>12255</v>
      </c>
      <c r="AP3" s="151">
        <v>9925</v>
      </c>
      <c r="AQ3" s="151">
        <v>9787</v>
      </c>
      <c r="AR3" s="185">
        <v>9711</v>
      </c>
      <c r="AS3" s="161">
        <f>AVERAGE(AM3:AR3)</f>
        <v>10692</v>
      </c>
      <c r="AU3" s="202" t="s">
        <v>73</v>
      </c>
      <c r="AV3" s="203">
        <v>78040</v>
      </c>
      <c r="AW3" s="204">
        <v>96611</v>
      </c>
      <c r="AX3" s="204">
        <v>105506</v>
      </c>
      <c r="AY3" s="204">
        <v>101892</v>
      </c>
      <c r="AZ3" s="204">
        <v>105851</v>
      </c>
      <c r="BA3" s="205">
        <v>100242</v>
      </c>
      <c r="BB3" s="29">
        <f>AVERAGE(AV3:BA3)</f>
        <v>98023.666666666672</v>
      </c>
      <c r="BC3" s="206">
        <v>98394</v>
      </c>
      <c r="BD3" s="204">
        <v>122348</v>
      </c>
      <c r="BE3" s="204">
        <v>120105</v>
      </c>
      <c r="BF3" s="204">
        <v>123303</v>
      </c>
      <c r="BG3" s="204">
        <v>126751</v>
      </c>
      <c r="BH3" s="205">
        <v>121811</v>
      </c>
      <c r="BI3" s="29">
        <f>AVERAGE(BC3:BH3)</f>
        <v>118785.33333333333</v>
      </c>
      <c r="BJ3" s="206">
        <v>86641</v>
      </c>
      <c r="BK3" s="204">
        <v>110849</v>
      </c>
      <c r="BL3" s="204">
        <v>116750</v>
      </c>
      <c r="BM3" s="204">
        <v>115658</v>
      </c>
      <c r="BN3" s="204">
        <v>114637</v>
      </c>
      <c r="BO3" s="207">
        <v>111827</v>
      </c>
      <c r="BP3" s="29">
        <f>AVERAGE(BJ3:BO3)</f>
        <v>109393.66666666667</v>
      </c>
      <c r="BR3" s="208" t="s">
        <v>73</v>
      </c>
      <c r="BS3" s="107">
        <v>85047</v>
      </c>
      <c r="BT3" s="108">
        <v>79618</v>
      </c>
      <c r="BU3" s="108">
        <v>76004</v>
      </c>
      <c r="BV3" s="108">
        <v>73575</v>
      </c>
      <c r="BW3" s="108">
        <v>68482</v>
      </c>
      <c r="BX3" s="109">
        <v>53378</v>
      </c>
      <c r="BY3" s="51">
        <f>AVERAGE(BS3:BX3)</f>
        <v>72684</v>
      </c>
      <c r="BZ3" s="110">
        <v>107558</v>
      </c>
      <c r="CA3" s="108">
        <v>95680</v>
      </c>
      <c r="CB3" s="108">
        <v>88277</v>
      </c>
      <c r="CC3" s="108">
        <v>82690</v>
      </c>
      <c r="CD3" s="108">
        <v>80062</v>
      </c>
      <c r="CE3" s="109">
        <v>67712</v>
      </c>
      <c r="CF3" s="51">
        <f>AVERAGE(BZ3:CE3)</f>
        <v>86996.5</v>
      </c>
      <c r="CG3" s="110">
        <v>71382</v>
      </c>
      <c r="CH3" s="108">
        <v>53053</v>
      </c>
      <c r="CI3" s="108">
        <v>57753</v>
      </c>
      <c r="CJ3" s="108">
        <v>56389</v>
      </c>
      <c r="CK3" s="108">
        <v>52918</v>
      </c>
      <c r="CL3" s="209">
        <v>53936</v>
      </c>
      <c r="CM3" s="51">
        <f>AVERAGE(CG3:CL3)</f>
        <v>57571.833333333336</v>
      </c>
    </row>
    <row r="4" spans="1:91" x14ac:dyDescent="0.25">
      <c r="A4" s="354" t="s">
        <v>74</v>
      </c>
      <c r="B4" s="355">
        <v>69</v>
      </c>
      <c r="C4" s="356">
        <v>65</v>
      </c>
      <c r="D4" s="357">
        <v>75</v>
      </c>
      <c r="E4" s="357">
        <v>70</v>
      </c>
      <c r="F4" s="357">
        <v>71</v>
      </c>
      <c r="G4" s="358">
        <v>68</v>
      </c>
      <c r="H4" s="359">
        <f>AVERAGE(B4:G4)</f>
        <v>69.666666666666671</v>
      </c>
      <c r="I4" s="360">
        <v>74</v>
      </c>
      <c r="J4" s="357">
        <v>73</v>
      </c>
      <c r="K4" s="357">
        <v>73</v>
      </c>
      <c r="L4" s="357">
        <v>76</v>
      </c>
      <c r="M4" s="357">
        <v>71</v>
      </c>
      <c r="N4" s="358">
        <v>70</v>
      </c>
      <c r="O4" s="359">
        <f>AVERAGE(I4:N4)</f>
        <v>72.833333333333329</v>
      </c>
      <c r="P4" s="360">
        <v>79</v>
      </c>
      <c r="Q4" s="357">
        <v>80</v>
      </c>
      <c r="R4" s="357">
        <v>77</v>
      </c>
      <c r="S4" s="357">
        <v>77</v>
      </c>
      <c r="T4" s="357">
        <v>72</v>
      </c>
      <c r="U4" s="361">
        <v>72</v>
      </c>
      <c r="V4" s="359">
        <f>AVERAGE(P4:U4)</f>
        <v>76.166666666666671</v>
      </c>
      <c r="X4" s="186" t="s">
        <v>74</v>
      </c>
      <c r="Y4" s="154">
        <v>69</v>
      </c>
      <c r="Z4" s="155">
        <v>70</v>
      </c>
      <c r="AA4" s="194">
        <v>74</v>
      </c>
      <c r="AB4" s="194">
        <v>81</v>
      </c>
      <c r="AC4" s="194">
        <v>78</v>
      </c>
      <c r="AD4" s="274">
        <v>86</v>
      </c>
      <c r="AE4" s="275">
        <f>AVERAGE(Y4:AD4)</f>
        <v>76.333333333333329</v>
      </c>
      <c r="AF4" s="273">
        <v>78</v>
      </c>
      <c r="AG4" s="194">
        <v>77</v>
      </c>
      <c r="AH4" s="194">
        <v>75</v>
      </c>
      <c r="AI4" s="194">
        <v>69</v>
      </c>
      <c r="AJ4" s="194">
        <v>69</v>
      </c>
      <c r="AK4" s="274">
        <v>75</v>
      </c>
      <c r="AL4" s="275">
        <f>AVERAGE(AF4:AK4)</f>
        <v>73.833333333333329</v>
      </c>
      <c r="AM4" s="273">
        <v>78</v>
      </c>
      <c r="AN4" s="194">
        <v>80</v>
      </c>
      <c r="AO4" s="194">
        <v>77</v>
      </c>
      <c r="AP4" s="194">
        <v>74</v>
      </c>
      <c r="AQ4" s="194">
        <v>76</v>
      </c>
      <c r="AR4" s="271">
        <v>73</v>
      </c>
      <c r="AS4" s="275">
        <f>AVERAGE(AM4:AR4)</f>
        <v>76.333333333333329</v>
      </c>
      <c r="AU4" s="210" t="s">
        <v>74</v>
      </c>
      <c r="AV4" s="87">
        <v>51</v>
      </c>
      <c r="AW4" s="86">
        <v>58</v>
      </c>
      <c r="AX4" s="211">
        <v>59</v>
      </c>
      <c r="AY4" s="211">
        <v>37</v>
      </c>
      <c r="AZ4" s="211">
        <v>43</v>
      </c>
      <c r="BA4" s="212">
        <v>46</v>
      </c>
      <c r="BB4" s="213">
        <f>AVERAGE(AV4:BA4)</f>
        <v>49</v>
      </c>
      <c r="BC4" s="214">
        <v>51</v>
      </c>
      <c r="BD4" s="211">
        <v>35</v>
      </c>
      <c r="BE4" s="211">
        <v>50</v>
      </c>
      <c r="BF4" s="211">
        <v>50</v>
      </c>
      <c r="BG4" s="211">
        <v>49</v>
      </c>
      <c r="BH4" s="212">
        <v>50</v>
      </c>
      <c r="BI4" s="213">
        <f>AVERAGE(BC4:BH4)</f>
        <v>47.5</v>
      </c>
      <c r="BJ4" s="214">
        <v>45</v>
      </c>
      <c r="BK4" s="211">
        <v>38</v>
      </c>
      <c r="BL4" s="211">
        <v>47</v>
      </c>
      <c r="BM4" s="211">
        <v>54</v>
      </c>
      <c r="BN4" s="211">
        <v>53</v>
      </c>
      <c r="BO4" s="215">
        <v>55</v>
      </c>
      <c r="BP4" s="213">
        <f>AVERAGE(BJ4:BO4)</f>
        <v>48.666666666666664</v>
      </c>
      <c r="BR4" s="216" t="s">
        <v>74</v>
      </c>
      <c r="BS4" s="112">
        <v>49</v>
      </c>
      <c r="BT4" s="2">
        <v>53</v>
      </c>
      <c r="BU4" s="217">
        <v>57</v>
      </c>
      <c r="BV4" s="217">
        <v>55</v>
      </c>
      <c r="BW4" s="217">
        <v>61</v>
      </c>
      <c r="BX4" s="218">
        <v>51</v>
      </c>
      <c r="BY4" s="219">
        <f>AVERAGE(BS4:BX4)</f>
        <v>54.333333333333336</v>
      </c>
      <c r="BZ4" s="220">
        <v>51</v>
      </c>
      <c r="CA4" s="217">
        <v>44</v>
      </c>
      <c r="CB4" s="217">
        <v>46</v>
      </c>
      <c r="CC4" s="217">
        <v>4016</v>
      </c>
      <c r="CD4" s="217">
        <v>7195</v>
      </c>
      <c r="CE4" s="218">
        <v>734</v>
      </c>
      <c r="CF4" s="219">
        <f>AVERAGE(BZ4:CE4)</f>
        <v>2014.3333333333333</v>
      </c>
      <c r="CG4" s="220">
        <v>52</v>
      </c>
      <c r="CH4" s="217">
        <v>50</v>
      </c>
      <c r="CI4" s="217">
        <v>45</v>
      </c>
      <c r="CJ4" s="217">
        <v>44</v>
      </c>
      <c r="CK4" s="217">
        <v>59</v>
      </c>
      <c r="CL4" s="221">
        <v>49</v>
      </c>
      <c r="CM4" s="219">
        <f>AVERAGE(CG4:CL4)</f>
        <v>49.833333333333336</v>
      </c>
    </row>
    <row r="5" spans="1:91" ht="15.75" thickBot="1" x14ac:dyDescent="0.3">
      <c r="A5" s="362" t="s">
        <v>75</v>
      </c>
      <c r="B5" s="363">
        <v>3587</v>
      </c>
      <c r="C5" s="345">
        <v>3616</v>
      </c>
      <c r="D5" s="364">
        <v>3593</v>
      </c>
      <c r="E5" s="327">
        <v>3544</v>
      </c>
      <c r="F5" s="327">
        <v>3593</v>
      </c>
      <c r="G5" s="327">
        <v>3650</v>
      </c>
      <c r="H5" s="171"/>
      <c r="I5" s="327"/>
      <c r="J5" s="327"/>
      <c r="K5" s="327"/>
      <c r="L5" s="327"/>
      <c r="M5" s="327"/>
      <c r="N5" s="327"/>
      <c r="O5" s="171"/>
      <c r="P5" s="327"/>
      <c r="Q5" s="327"/>
      <c r="R5" s="327"/>
      <c r="S5" s="327"/>
      <c r="T5" s="327"/>
      <c r="U5" s="365"/>
      <c r="V5" s="171">
        <f>AVERAGE(B5:G5)</f>
        <v>3597.1666666666665</v>
      </c>
      <c r="X5" s="192" t="s">
        <v>75</v>
      </c>
      <c r="Y5" s="158">
        <v>3587</v>
      </c>
      <c r="Z5" s="266">
        <v>3616</v>
      </c>
      <c r="AA5" s="285">
        <v>3593</v>
      </c>
      <c r="AB5" s="286">
        <v>3544</v>
      </c>
      <c r="AC5" s="286">
        <v>3593</v>
      </c>
      <c r="AD5" s="286">
        <v>3650</v>
      </c>
      <c r="AE5" s="162"/>
      <c r="AF5" s="286"/>
      <c r="AG5" s="286"/>
      <c r="AH5" s="286"/>
      <c r="AI5" s="286"/>
      <c r="AJ5" s="286"/>
      <c r="AK5" s="286"/>
      <c r="AL5" s="162"/>
      <c r="AM5" s="286"/>
      <c r="AN5" s="286"/>
      <c r="AO5" s="286"/>
      <c r="AP5" s="286"/>
      <c r="AQ5" s="286"/>
      <c r="AR5" s="287"/>
      <c r="AS5" s="162">
        <f>AVERAGE(Y5:AD5)</f>
        <v>3597.1666666666665</v>
      </c>
      <c r="AU5" s="222" t="s">
        <v>75</v>
      </c>
      <c r="AV5" s="88">
        <v>36360</v>
      </c>
      <c r="AW5" s="97">
        <v>37144</v>
      </c>
      <c r="AX5" s="96"/>
      <c r="AY5" s="37"/>
      <c r="AZ5" s="37"/>
      <c r="BA5" s="37"/>
      <c r="BB5" s="36"/>
      <c r="BC5" s="37"/>
      <c r="BD5" s="37"/>
      <c r="BE5" s="37"/>
      <c r="BF5" s="37"/>
      <c r="BG5" s="37"/>
      <c r="BH5" s="37"/>
      <c r="BI5" s="36"/>
      <c r="BJ5" s="37"/>
      <c r="BK5" s="37"/>
      <c r="BL5" s="37"/>
      <c r="BM5" s="37"/>
      <c r="BN5" s="37"/>
      <c r="BO5" s="223"/>
      <c r="BP5" s="36">
        <f>AVERAGE(AV5:AW5)</f>
        <v>36752</v>
      </c>
      <c r="BR5" s="224" t="s">
        <v>75</v>
      </c>
      <c r="BS5" s="115">
        <v>36360</v>
      </c>
      <c r="BT5" s="117">
        <v>37144</v>
      </c>
      <c r="BU5" s="113"/>
      <c r="BV5" s="59"/>
      <c r="BW5" s="59"/>
      <c r="BX5" s="59"/>
      <c r="BY5" s="60"/>
      <c r="BZ5" s="59"/>
      <c r="CA5" s="59"/>
      <c r="CB5" s="59"/>
      <c r="CC5" s="59"/>
      <c r="CD5" s="59"/>
      <c r="CE5" s="59"/>
      <c r="CF5" s="60"/>
      <c r="CG5" s="59"/>
      <c r="CH5" s="59"/>
      <c r="CI5" s="59"/>
      <c r="CJ5" s="59"/>
      <c r="CK5" s="59"/>
      <c r="CL5" s="225"/>
      <c r="CM5" s="60">
        <f>AVERAGE(BS5:BT5)</f>
        <v>36752</v>
      </c>
    </row>
    <row r="6" spans="1:91" ht="15.75" thickBot="1" x14ac:dyDescent="0.3">
      <c r="A6" s="366" t="s">
        <v>76</v>
      </c>
      <c r="B6" s="367">
        <f>B3-(3597.167+(AVERAGE(B4:G4)))</f>
        <v>28563.166333333334</v>
      </c>
      <c r="C6" s="368">
        <f>C3-(3597.167+(AVERAGE(B4:G4)))</f>
        <v>8771.1663333333345</v>
      </c>
      <c r="D6" s="369">
        <f>D3-(3597.167+(AVERAGE(B4:G4)))</f>
        <v>14259.166333333334</v>
      </c>
      <c r="E6" s="369">
        <f>E3-(3597.167+(AVERAGE(B4:G4)))</f>
        <v>14145.166333333334</v>
      </c>
      <c r="F6" s="369">
        <f>F3-(3597.167+(AVERAGE(B4:G4)))</f>
        <v>13960.166333333334</v>
      </c>
      <c r="G6" s="370">
        <f>G3-(3597.167+(AVERAGE(B4:G4)))</f>
        <v>10171.166333333334</v>
      </c>
      <c r="H6" s="371">
        <f>AVERAGE(B6:G6)</f>
        <v>14978.332999999999</v>
      </c>
      <c r="I6" s="367">
        <f>I3-(3597.167+(AVERAGE(I4:N4)))</f>
        <v>4622.9996666666666</v>
      </c>
      <c r="J6" s="368">
        <f>J3-(3597.167+(AVERAGE(I4:N4)))</f>
        <v>8825.9996666666666</v>
      </c>
      <c r="K6" s="369">
        <f>K3-(3597.167+(AVERAGE(I4:N4)))</f>
        <v>10116.999666666667</v>
      </c>
      <c r="L6" s="369">
        <f>L3-(3597.167+(AVERAGE(I4:N4)))</f>
        <v>10505.999666666667</v>
      </c>
      <c r="M6" s="369">
        <f>M3-(3597.167+(AVERAGE(I4:N4)))</f>
        <v>9231.9996666666666</v>
      </c>
      <c r="N6" s="370">
        <f>N3-(3597.167+(AVERAGE(I4:N4)))</f>
        <v>17905.999666666667</v>
      </c>
      <c r="O6" s="371">
        <f>AVERAGE(I6:N6)</f>
        <v>10201.666333333334</v>
      </c>
      <c r="P6" s="367">
        <f>P3-(3597.167+(AVERAGE(P4:U4)))</f>
        <v>9348.6663333333345</v>
      </c>
      <c r="Q6" s="368">
        <f>Q3-(3597.167+(AVERAGE(P4:U4)))</f>
        <v>12964.666333333334</v>
      </c>
      <c r="R6" s="369">
        <f>R3-(3597.167+(AVERAGE(P4:U4)))</f>
        <v>11218.666333333334</v>
      </c>
      <c r="S6" s="369">
        <f>S3-(3597.167+(AVERAGE(P4:U4)))</f>
        <v>8663.6663333333345</v>
      </c>
      <c r="T6" s="369">
        <f>T3-(3597.167+(AVERAGE(P4:U4)))</f>
        <v>12095.666333333334</v>
      </c>
      <c r="U6" s="370">
        <f>U3-(3597.167+(AVERAGE(P4:U4)))</f>
        <v>21021.666333333334</v>
      </c>
      <c r="V6" s="371">
        <f>AVERAGE(P6:U6)</f>
        <v>12552.166333333334</v>
      </c>
      <c r="X6" s="277" t="s">
        <v>76</v>
      </c>
      <c r="Y6" s="281">
        <f>Y3-(3597.167+(AVERAGE(Y4:AD4)))</f>
        <v>8799.4996666666666</v>
      </c>
      <c r="Z6" s="279">
        <f>Z3-(3597.167+(AVERAGE(Y4:AD4)))</f>
        <v>6470.4996666666666</v>
      </c>
      <c r="AA6" s="383">
        <f>AA3-(3597.167+(AVERAGE(Y4:AD4)))</f>
        <v>7158.4996666666666</v>
      </c>
      <c r="AB6" s="383">
        <f>AB3-(3597.167+(AVERAGE(Y4:AD4)))</f>
        <v>7891.4996666666666</v>
      </c>
      <c r="AC6" s="383">
        <f>AC3-(3597.167+(AVERAGE(Y4:AD4)))</f>
        <v>7071.4996666666666</v>
      </c>
      <c r="AD6" s="384">
        <f>AD3-(3597.167+(AVERAGE(Y4:AD4)))</f>
        <v>4180.4996666666666</v>
      </c>
      <c r="AE6" s="283">
        <f>AVERAGE(Y6:AD6)</f>
        <v>6928.6663333333345</v>
      </c>
      <c r="AF6" s="281">
        <f>AF3-(3597.167+(AVERAGE(AF4:AK4)))</f>
        <v>7134.9996666666666</v>
      </c>
      <c r="AG6" s="279">
        <f>AG3-(3597.167+(AVERAGE(AF4:AK4)))</f>
        <v>6357.9996666666666</v>
      </c>
      <c r="AH6" s="383">
        <f>AH3-(3597.167+(AVERAGE(AF4:AK4)))</f>
        <v>8257.9996666666666</v>
      </c>
      <c r="AI6" s="383">
        <f>AI3-(3597.167+(AVERAGE(AF4:AK4)))</f>
        <v>8818.9996666666666</v>
      </c>
      <c r="AJ6" s="383">
        <f>AJ3-(3597.167+(AVERAGE(AF4:AK4)))</f>
        <v>9252.9996666666666</v>
      </c>
      <c r="AK6" s="384">
        <f>AK3-(3597.167+(AVERAGE(AF4:AK4)))</f>
        <v>4794.9996666666666</v>
      </c>
      <c r="AL6" s="283">
        <f>AVERAGE(AF6:AK6)</f>
        <v>7436.3330000000014</v>
      </c>
      <c r="AM6" s="281">
        <f>AM3-(3597.167+(AVERAGE(AM4:AR4)))</f>
        <v>7907.4996666666666</v>
      </c>
      <c r="AN6" s="279">
        <f>AN3-(3597.167+(AVERAGE(AM4:AR4)))</f>
        <v>7219.4996666666666</v>
      </c>
      <c r="AO6" s="383">
        <f>AO3-(3597.167+(AVERAGE(AM4:AR4)))</f>
        <v>8581.4996666666666</v>
      </c>
      <c r="AP6" s="383">
        <f>AP3-(3597.167+(AVERAGE(AM4:AR4)))</f>
        <v>6251.4996666666666</v>
      </c>
      <c r="AQ6" s="383">
        <f>AQ3-(3597.167+(AVERAGE(AM4:AR4)))</f>
        <v>6113.4996666666666</v>
      </c>
      <c r="AR6" s="384">
        <f>AR3-(3597.167+(AVERAGE(AM4:AR4)))</f>
        <v>6037.4996666666666</v>
      </c>
      <c r="AS6" s="283">
        <f>AVERAGE(AM6:AR6)</f>
        <v>7018.4996666666675</v>
      </c>
      <c r="AU6" s="226" t="s">
        <v>76</v>
      </c>
      <c r="AV6" s="227">
        <f>AV3-(36752+(AVERAGE(AV4:BA4)))</f>
        <v>41239</v>
      </c>
      <c r="AW6" s="228">
        <f>AW3-(36752+(AVERAGE(AV4:BA4)))</f>
        <v>59810</v>
      </c>
      <c r="AX6" s="229">
        <f>AX3-(36752+(AVERAGE(AV4:BA4)))</f>
        <v>68705</v>
      </c>
      <c r="AY6" s="229">
        <f>AY3-(36752+(AVERAGE(AV4:BA4)))</f>
        <v>65091</v>
      </c>
      <c r="AZ6" s="229">
        <f>AZ3-(36752+(AVERAGE(AV4:BA4)))</f>
        <v>69050</v>
      </c>
      <c r="BA6" s="230">
        <f>BA3-(36752+(AVERAGE(AV4:BA4)))</f>
        <v>63441</v>
      </c>
      <c r="BB6" s="231">
        <f>AVERAGE(AV6:BA6)</f>
        <v>61222.666666666664</v>
      </c>
      <c r="BC6" s="227">
        <f>BC3-(36752+(AVERAGE(BC4:BH4)))</f>
        <v>61594.5</v>
      </c>
      <c r="BD6" s="228">
        <f>BD3-(36752+(AVERAGE(BC4:BH4)))</f>
        <v>85548.5</v>
      </c>
      <c r="BE6" s="229">
        <f>BE3-(36752+(AVERAGE(BC4:BH4)))</f>
        <v>83305.5</v>
      </c>
      <c r="BF6" s="229">
        <f>BF3-(36752+(AVERAGE(BC4:BH4)))</f>
        <v>86503.5</v>
      </c>
      <c r="BG6" s="229">
        <f>BG3-(36752+(AVERAGE(BC4:BH4)))</f>
        <v>89951.5</v>
      </c>
      <c r="BH6" s="230">
        <f>BH3-(36752+(AVERAGE(BC4:BH4)))</f>
        <v>85011.5</v>
      </c>
      <c r="BI6" s="231">
        <f>AVERAGE(BC6:BH6)</f>
        <v>81985.833333333328</v>
      </c>
      <c r="BJ6" s="227">
        <f>BJ3-(36752+(AVERAGE(BJ4:BO4)))</f>
        <v>49840.333333333336</v>
      </c>
      <c r="BK6" s="228">
        <f>BK3-(36752+(AVERAGE(BJ4:BO4)))</f>
        <v>74048.333333333343</v>
      </c>
      <c r="BL6" s="229">
        <f>BL3-(36752+(AVERAGE(BJ4:BO4)))</f>
        <v>79949.333333333343</v>
      </c>
      <c r="BM6" s="229">
        <f>BM3-(36752+(AVERAGE(BJ4:BO4)))</f>
        <v>78857.333333333343</v>
      </c>
      <c r="BN6" s="229">
        <f>BN3-(36752+(AVERAGE(BJ4:BO4)))</f>
        <v>77836.333333333343</v>
      </c>
      <c r="BO6" s="230">
        <f>BO3-(36752+(AVERAGE(BJ4:BO4)))</f>
        <v>75026.333333333343</v>
      </c>
      <c r="BP6" s="231">
        <f>AVERAGE(BJ6:BO6)</f>
        <v>72593.000000000015</v>
      </c>
      <c r="BR6" s="232" t="s">
        <v>76</v>
      </c>
      <c r="BS6" s="233">
        <f>BS3-(36752+(AVERAGE(BS4:BX4)))</f>
        <v>48240.666666666664</v>
      </c>
      <c r="BT6" s="234">
        <f>BT3-(36752+(AVERAGE(BS4:BX4)))</f>
        <v>42811.666666666664</v>
      </c>
      <c r="BU6" s="235">
        <f>BU3-(36752+(AVERAGE(BS4:BX4)))</f>
        <v>39197.666666666664</v>
      </c>
      <c r="BV6" s="235">
        <f>BV3-(36752+(AVERAGE(BS4:BX4)))</f>
        <v>36768.666666666664</v>
      </c>
      <c r="BW6" s="235">
        <f>BW3-(36752+(AVERAGE(BS4:BX4)))</f>
        <v>31675.666666666664</v>
      </c>
      <c r="BX6" s="236">
        <f>BX3-(36752+(AVERAGE(BS4:BX4)))</f>
        <v>16571.666666666664</v>
      </c>
      <c r="BY6" s="237">
        <f>AVERAGE(BS6:BX6)</f>
        <v>35877.666666666664</v>
      </c>
      <c r="BZ6" s="233">
        <f>BZ3-(36752+(AVERAGE(BZ4:CE4)))</f>
        <v>68791.666666666657</v>
      </c>
      <c r="CA6" s="234">
        <f>CA3-(36752+(AVERAGE(BZ4:CE4)))</f>
        <v>56913.666666666664</v>
      </c>
      <c r="CB6" s="235">
        <f>CB3-(36752+(AVERAGE(BZ4:CE4)))</f>
        <v>49510.666666666664</v>
      </c>
      <c r="CC6" s="235">
        <f>CC3-(36752+(AVERAGE(BZ4:CE4)))</f>
        <v>43923.666666666664</v>
      </c>
      <c r="CD6" s="235">
        <f>CD3-(36752+(AVERAGE(BZ4:CE4)))</f>
        <v>41295.666666666664</v>
      </c>
      <c r="CE6" s="236">
        <f>CE3-(36752+(AVERAGE(BZ4:CE4)))</f>
        <v>28945.666666666664</v>
      </c>
      <c r="CF6" s="237">
        <f>AVERAGE(BZ6:CE6)</f>
        <v>48230.166666666657</v>
      </c>
      <c r="CG6" s="233">
        <f>CG3-(36752+(AVERAGE(CG4:CL4)))</f>
        <v>34580.166666666664</v>
      </c>
      <c r="CH6" s="234">
        <f>CH3-(36752+(AVERAGE(CG4:CL4)))</f>
        <v>16251.166666666664</v>
      </c>
      <c r="CI6" s="235">
        <f>CI3-(36752+(AVERAGE(CG4:CL4)))</f>
        <v>20951.166666666664</v>
      </c>
      <c r="CJ6" s="235">
        <f>CJ3-(36752+(AVERAGE(CG4:CL4)))</f>
        <v>19587.166666666664</v>
      </c>
      <c r="CK6" s="235">
        <f>CK3-(36752+(AVERAGE(CG4:CL4)))</f>
        <v>16116.166666666664</v>
      </c>
      <c r="CL6" s="236">
        <f>CL3-(36752+(AVERAGE(CG4:CL4)))</f>
        <v>17134.166666666664</v>
      </c>
      <c r="CM6" s="237">
        <f>AVERAGE(CG6:CL6)</f>
        <v>20769.999999999996</v>
      </c>
    </row>
    <row r="7" spans="1:91" ht="16.5" customHeight="1" thickBot="1" x14ac:dyDescent="0.3">
      <c r="H7" s="291"/>
      <c r="I7" s="291"/>
      <c r="O7" s="291"/>
      <c r="P7" s="291"/>
      <c r="V7" s="291"/>
      <c r="AE7" s="291"/>
      <c r="AF7" s="291"/>
      <c r="AL7" s="291"/>
      <c r="AM7" s="291"/>
      <c r="AS7" s="291"/>
      <c r="BB7" s="291"/>
      <c r="BC7" s="291"/>
      <c r="BI7" s="291"/>
      <c r="BJ7" s="291"/>
      <c r="BP7" s="291"/>
      <c r="BY7" s="291"/>
      <c r="BZ7" s="291"/>
      <c r="CF7" s="291"/>
      <c r="CG7" s="291"/>
      <c r="CM7" s="291"/>
    </row>
    <row r="8" spans="1:91" x14ac:dyDescent="0.25">
      <c r="A8" s="638" t="s">
        <v>91</v>
      </c>
      <c r="B8" s="640" t="s">
        <v>69</v>
      </c>
      <c r="C8" s="641"/>
      <c r="D8" s="641"/>
      <c r="E8" s="641"/>
      <c r="F8" s="641"/>
      <c r="G8" s="642"/>
      <c r="H8" s="643"/>
      <c r="I8" s="640" t="s">
        <v>70</v>
      </c>
      <c r="J8" s="641"/>
      <c r="K8" s="641"/>
      <c r="L8" s="641"/>
      <c r="M8" s="641"/>
      <c r="N8" s="642"/>
      <c r="O8" s="643"/>
      <c r="P8" s="640" t="s">
        <v>71</v>
      </c>
      <c r="Q8" s="641"/>
      <c r="R8" s="641"/>
      <c r="S8" s="641"/>
      <c r="T8" s="641"/>
      <c r="U8" s="642"/>
      <c r="V8" s="643"/>
      <c r="X8" s="645" t="s">
        <v>92</v>
      </c>
      <c r="Y8" s="616" t="s">
        <v>69</v>
      </c>
      <c r="Z8" s="617"/>
      <c r="AA8" s="617"/>
      <c r="AB8" s="617"/>
      <c r="AC8" s="617"/>
      <c r="AD8" s="635"/>
      <c r="AE8" s="636"/>
      <c r="AF8" s="616" t="s">
        <v>70</v>
      </c>
      <c r="AG8" s="617"/>
      <c r="AH8" s="617"/>
      <c r="AI8" s="617"/>
      <c r="AJ8" s="617"/>
      <c r="AK8" s="635"/>
      <c r="AL8" s="636"/>
      <c r="AM8" s="616" t="s">
        <v>71</v>
      </c>
      <c r="AN8" s="617"/>
      <c r="AO8" s="617"/>
      <c r="AP8" s="617"/>
      <c r="AQ8" s="617"/>
      <c r="AR8" s="635"/>
      <c r="AS8" s="636"/>
      <c r="AU8" s="650" t="s">
        <v>77</v>
      </c>
      <c r="AV8" s="607" t="s">
        <v>69</v>
      </c>
      <c r="AW8" s="608"/>
      <c r="AX8" s="608"/>
      <c r="AY8" s="608"/>
      <c r="AZ8" s="608"/>
      <c r="BA8" s="655"/>
      <c r="BB8" s="653" t="s">
        <v>52</v>
      </c>
      <c r="BC8" s="607" t="s">
        <v>70</v>
      </c>
      <c r="BD8" s="608"/>
      <c r="BE8" s="608"/>
      <c r="BF8" s="608"/>
      <c r="BG8" s="608"/>
      <c r="BH8" s="655"/>
      <c r="BI8" s="653" t="s">
        <v>52</v>
      </c>
      <c r="BJ8" s="607" t="s">
        <v>71</v>
      </c>
      <c r="BK8" s="608"/>
      <c r="BL8" s="608"/>
      <c r="BM8" s="608"/>
      <c r="BN8" s="608"/>
      <c r="BO8" s="655"/>
      <c r="BP8" s="653" t="s">
        <v>52</v>
      </c>
      <c r="BR8" s="511" t="s">
        <v>78</v>
      </c>
      <c r="BS8" s="623" t="s">
        <v>69</v>
      </c>
      <c r="BT8" s="624"/>
      <c r="BU8" s="624"/>
      <c r="BV8" s="624"/>
      <c r="BW8" s="624"/>
      <c r="BX8" s="658"/>
      <c r="BY8" s="656" t="s">
        <v>52</v>
      </c>
      <c r="BZ8" s="623" t="s">
        <v>70</v>
      </c>
      <c r="CA8" s="624"/>
      <c r="CB8" s="624"/>
      <c r="CC8" s="624"/>
      <c r="CD8" s="624"/>
      <c r="CE8" s="658"/>
      <c r="CF8" s="656" t="s">
        <v>52</v>
      </c>
      <c r="CG8" s="623" t="s">
        <v>71</v>
      </c>
      <c r="CH8" s="624"/>
      <c r="CI8" s="624"/>
      <c r="CJ8" s="624"/>
      <c r="CK8" s="624"/>
      <c r="CL8" s="658"/>
      <c r="CM8" s="656" t="s">
        <v>52</v>
      </c>
    </row>
    <row r="9" spans="1:91" ht="15.75" thickBot="1" x14ac:dyDescent="0.3">
      <c r="A9" s="639"/>
      <c r="B9" s="363">
        <v>1</v>
      </c>
      <c r="C9" s="344">
        <v>2</v>
      </c>
      <c r="D9" s="344">
        <v>3</v>
      </c>
      <c r="E9" s="344">
        <v>4</v>
      </c>
      <c r="F9" s="344">
        <v>5</v>
      </c>
      <c r="G9" s="345">
        <v>6</v>
      </c>
      <c r="H9" s="644"/>
      <c r="I9" s="343">
        <v>1</v>
      </c>
      <c r="J9" s="344">
        <v>2</v>
      </c>
      <c r="K9" s="344">
        <v>3</v>
      </c>
      <c r="L9" s="344">
        <v>4</v>
      </c>
      <c r="M9" s="344">
        <v>5</v>
      </c>
      <c r="N9" s="345">
        <v>6</v>
      </c>
      <c r="O9" s="644"/>
      <c r="P9" s="343">
        <v>1</v>
      </c>
      <c r="Q9" s="344">
        <v>2</v>
      </c>
      <c r="R9" s="344">
        <v>3</v>
      </c>
      <c r="S9" s="344">
        <v>4</v>
      </c>
      <c r="T9" s="344">
        <v>5</v>
      </c>
      <c r="U9" s="346">
        <v>6</v>
      </c>
      <c r="V9" s="644"/>
      <c r="X9" s="646"/>
      <c r="Y9" s="158">
        <v>1</v>
      </c>
      <c r="Z9" s="159">
        <v>2</v>
      </c>
      <c r="AA9" s="159">
        <v>3</v>
      </c>
      <c r="AB9" s="159">
        <v>4</v>
      </c>
      <c r="AC9" s="159">
        <v>5</v>
      </c>
      <c r="AD9" s="266">
        <v>6</v>
      </c>
      <c r="AE9" s="637"/>
      <c r="AF9" s="160">
        <v>1</v>
      </c>
      <c r="AG9" s="159">
        <v>2</v>
      </c>
      <c r="AH9" s="159">
        <v>3</v>
      </c>
      <c r="AI9" s="159">
        <v>4</v>
      </c>
      <c r="AJ9" s="159">
        <v>5</v>
      </c>
      <c r="AK9" s="266">
        <v>6</v>
      </c>
      <c r="AL9" s="637"/>
      <c r="AM9" s="160">
        <v>1</v>
      </c>
      <c r="AN9" s="159">
        <v>2</v>
      </c>
      <c r="AO9" s="159">
        <v>3</v>
      </c>
      <c r="AP9" s="159">
        <v>4</v>
      </c>
      <c r="AQ9" s="159">
        <v>5</v>
      </c>
      <c r="AR9" s="267">
        <v>6</v>
      </c>
      <c r="AS9" s="637"/>
      <c r="AU9" s="651"/>
      <c r="AV9" s="88">
        <v>1</v>
      </c>
      <c r="AW9" s="89">
        <v>2</v>
      </c>
      <c r="AX9" s="89">
        <v>3</v>
      </c>
      <c r="AY9" s="89">
        <v>4</v>
      </c>
      <c r="AZ9" s="89">
        <v>5</v>
      </c>
      <c r="BA9" s="97">
        <v>6</v>
      </c>
      <c r="BB9" s="654"/>
      <c r="BC9" s="91">
        <v>1</v>
      </c>
      <c r="BD9" s="89">
        <v>2</v>
      </c>
      <c r="BE9" s="89">
        <v>3</v>
      </c>
      <c r="BF9" s="89">
        <v>4</v>
      </c>
      <c r="BG9" s="89">
        <v>5</v>
      </c>
      <c r="BH9" s="97">
        <v>6</v>
      </c>
      <c r="BI9" s="654"/>
      <c r="BJ9" s="91">
        <v>1</v>
      </c>
      <c r="BK9" s="89">
        <v>2</v>
      </c>
      <c r="BL9" s="89">
        <v>3</v>
      </c>
      <c r="BM9" s="89">
        <v>4</v>
      </c>
      <c r="BN9" s="89">
        <v>5</v>
      </c>
      <c r="BO9" s="200">
        <v>6</v>
      </c>
      <c r="BP9" s="654"/>
      <c r="BR9" s="512"/>
      <c r="BS9" s="115">
        <v>1</v>
      </c>
      <c r="BT9" s="116">
        <v>2</v>
      </c>
      <c r="BU9" s="116">
        <v>3</v>
      </c>
      <c r="BV9" s="116">
        <v>4</v>
      </c>
      <c r="BW9" s="116">
        <v>5</v>
      </c>
      <c r="BX9" s="117">
        <v>6</v>
      </c>
      <c r="BY9" s="657"/>
      <c r="BZ9" s="118">
        <v>1</v>
      </c>
      <c r="CA9" s="116">
        <v>2</v>
      </c>
      <c r="CB9" s="116">
        <v>3</v>
      </c>
      <c r="CC9" s="116">
        <v>4</v>
      </c>
      <c r="CD9" s="116">
        <v>5</v>
      </c>
      <c r="CE9" s="117">
        <v>6</v>
      </c>
      <c r="CF9" s="657"/>
      <c r="CG9" s="118">
        <v>1</v>
      </c>
      <c r="CH9" s="116">
        <v>2</v>
      </c>
      <c r="CI9" s="116">
        <v>3</v>
      </c>
      <c r="CJ9" s="116">
        <v>4</v>
      </c>
      <c r="CK9" s="116">
        <v>5</v>
      </c>
      <c r="CL9" s="201">
        <v>6</v>
      </c>
      <c r="CM9" s="657"/>
    </row>
    <row r="10" spans="1:91" x14ac:dyDescent="0.25">
      <c r="A10" s="351" t="s">
        <v>73</v>
      </c>
      <c r="B10" s="348">
        <v>10626</v>
      </c>
      <c r="C10" s="349">
        <v>13030</v>
      </c>
      <c r="D10" s="349">
        <v>17216</v>
      </c>
      <c r="E10" s="349">
        <v>11474</v>
      </c>
      <c r="F10" s="349">
        <v>13228</v>
      </c>
      <c r="G10" s="350">
        <v>10857</v>
      </c>
      <c r="H10" s="351">
        <f>AVERAGE(B10:G10)</f>
        <v>12738.5</v>
      </c>
      <c r="I10" s="352">
        <v>9678</v>
      </c>
      <c r="J10" s="349">
        <v>9938</v>
      </c>
      <c r="K10" s="349">
        <v>12699</v>
      </c>
      <c r="L10" s="349">
        <v>9301</v>
      </c>
      <c r="M10" s="349">
        <v>13584</v>
      </c>
      <c r="N10" s="350">
        <v>11023</v>
      </c>
      <c r="O10" s="351">
        <f>AVERAGE(I10:N10)</f>
        <v>11037.166666666666</v>
      </c>
      <c r="P10" s="352">
        <v>9477</v>
      </c>
      <c r="Q10" s="349">
        <v>14122</v>
      </c>
      <c r="R10" s="349">
        <v>16804</v>
      </c>
      <c r="S10" s="349">
        <v>11221</v>
      </c>
      <c r="T10" s="349">
        <v>15701</v>
      </c>
      <c r="U10" s="353">
        <v>18366</v>
      </c>
      <c r="V10" s="351">
        <f>AVERAGE(P10:U10)</f>
        <v>14281.833333333334</v>
      </c>
      <c r="X10" s="161" t="s">
        <v>73</v>
      </c>
      <c r="Y10" s="150">
        <v>10111</v>
      </c>
      <c r="Z10" s="151">
        <v>10936</v>
      </c>
      <c r="AA10" s="151">
        <v>13188</v>
      </c>
      <c r="AB10" s="151">
        <v>12675</v>
      </c>
      <c r="AC10" s="151">
        <v>14841</v>
      </c>
      <c r="AD10" s="270">
        <v>10307</v>
      </c>
      <c r="AE10" s="161">
        <f>AVERAGE(Y10:AD10)</f>
        <v>12009.666666666666</v>
      </c>
      <c r="AF10" s="152">
        <v>12085</v>
      </c>
      <c r="AG10" s="151">
        <v>10894</v>
      </c>
      <c r="AH10" s="151">
        <v>10941</v>
      </c>
      <c r="AI10" s="151">
        <v>10771</v>
      </c>
      <c r="AJ10" s="151">
        <v>12407</v>
      </c>
      <c r="AK10" s="270">
        <v>8080</v>
      </c>
      <c r="AL10" s="161">
        <f>AVERAGE(AF10:AK10)</f>
        <v>10863</v>
      </c>
      <c r="AM10" s="152">
        <v>11359</v>
      </c>
      <c r="AN10" s="151">
        <v>10153</v>
      </c>
      <c r="AO10" s="151">
        <v>9595</v>
      </c>
      <c r="AP10" s="151">
        <v>11535</v>
      </c>
      <c r="AQ10" s="151">
        <v>8569</v>
      </c>
      <c r="AR10" s="185">
        <v>11193</v>
      </c>
      <c r="AS10" s="161">
        <f>AVERAGE(AM10:AR10)</f>
        <v>10400.666666666666</v>
      </c>
      <c r="AU10" s="29" t="s">
        <v>73</v>
      </c>
      <c r="AV10" s="203">
        <v>65398</v>
      </c>
      <c r="AW10" s="204">
        <v>78497</v>
      </c>
      <c r="AX10" s="204">
        <v>81075</v>
      </c>
      <c r="AY10" s="204">
        <v>81123</v>
      </c>
      <c r="AZ10" s="204">
        <v>81689</v>
      </c>
      <c r="BA10" s="205">
        <v>78686</v>
      </c>
      <c r="BB10" s="29">
        <f>AVERAGE(AV10:BA10)</f>
        <v>77744.666666666672</v>
      </c>
      <c r="BC10" s="206">
        <v>80187</v>
      </c>
      <c r="BD10" s="204">
        <v>101686</v>
      </c>
      <c r="BE10" s="204">
        <v>99045</v>
      </c>
      <c r="BF10" s="204">
        <v>101110</v>
      </c>
      <c r="BG10" s="204">
        <v>102770</v>
      </c>
      <c r="BH10" s="205">
        <v>101020</v>
      </c>
      <c r="BI10" s="29">
        <f>AVERAGE(BC10:BH10)</f>
        <v>97636.333333333328</v>
      </c>
      <c r="BJ10" s="206">
        <v>56838</v>
      </c>
      <c r="BK10" s="204">
        <v>93943</v>
      </c>
      <c r="BL10" s="204">
        <v>92160</v>
      </c>
      <c r="BM10" s="204">
        <v>93158</v>
      </c>
      <c r="BN10" s="204">
        <v>88118</v>
      </c>
      <c r="BO10" s="207">
        <v>88007</v>
      </c>
      <c r="BP10" s="29">
        <f>AVERAGE(BJ10:BO10)</f>
        <v>85370.666666666672</v>
      </c>
      <c r="BR10" s="51" t="s">
        <v>73</v>
      </c>
      <c r="BS10" s="107">
        <v>67371</v>
      </c>
      <c r="BT10" s="108">
        <v>66640</v>
      </c>
      <c r="BU10" s="108">
        <v>66947</v>
      </c>
      <c r="BV10" s="108">
        <v>65784</v>
      </c>
      <c r="BW10" s="108">
        <v>68209</v>
      </c>
      <c r="BX10" s="109">
        <v>45664</v>
      </c>
      <c r="BY10" s="51">
        <f>AVERAGE(BS10:BX10)</f>
        <v>63435.833333333336</v>
      </c>
      <c r="BZ10" s="110">
        <v>87291</v>
      </c>
      <c r="CA10" s="108">
        <v>68219</v>
      </c>
      <c r="CB10" s="108">
        <v>72410</v>
      </c>
      <c r="CC10" s="108">
        <v>75592</v>
      </c>
      <c r="CD10" s="108">
        <v>89797</v>
      </c>
      <c r="CE10" s="109">
        <v>60281</v>
      </c>
      <c r="CF10" s="51">
        <f>AVERAGE(BZ10:CE10)</f>
        <v>75598.333333333328</v>
      </c>
      <c r="CG10" s="110">
        <v>56217</v>
      </c>
      <c r="CH10" s="108">
        <v>54453</v>
      </c>
      <c r="CI10" s="108">
        <v>53038</v>
      </c>
      <c r="CJ10" s="108">
        <v>45832</v>
      </c>
      <c r="CK10" s="108">
        <v>45987</v>
      </c>
      <c r="CL10" s="209">
        <v>43939</v>
      </c>
      <c r="CM10" s="51">
        <f>AVERAGE(CG10:CL10)</f>
        <v>49911</v>
      </c>
    </row>
    <row r="11" spans="1:91" x14ac:dyDescent="0.25">
      <c r="A11" s="171" t="s">
        <v>74</v>
      </c>
      <c r="B11" s="355">
        <v>62</v>
      </c>
      <c r="C11" s="356">
        <v>69</v>
      </c>
      <c r="D11" s="356">
        <v>75</v>
      </c>
      <c r="E11" s="356">
        <v>78</v>
      </c>
      <c r="F11" s="356">
        <v>66</v>
      </c>
      <c r="G11" s="364">
        <v>81</v>
      </c>
      <c r="H11" s="359">
        <f>AVERAGE(B11:G11)</f>
        <v>71.833333333333329</v>
      </c>
      <c r="I11" s="372">
        <v>76</v>
      </c>
      <c r="J11" s="356">
        <v>76</v>
      </c>
      <c r="K11" s="356">
        <v>77</v>
      </c>
      <c r="L11" s="356">
        <v>74</v>
      </c>
      <c r="M11" s="356">
        <v>69</v>
      </c>
      <c r="N11" s="364">
        <v>68</v>
      </c>
      <c r="O11" s="359">
        <f>AVERAGE(I11:N11)</f>
        <v>73.333333333333329</v>
      </c>
      <c r="P11" s="372">
        <v>75</v>
      </c>
      <c r="Q11" s="356">
        <v>81</v>
      </c>
      <c r="R11" s="356">
        <v>70</v>
      </c>
      <c r="S11" s="356">
        <v>76</v>
      </c>
      <c r="T11" s="356">
        <v>74</v>
      </c>
      <c r="U11" s="373">
        <v>76</v>
      </c>
      <c r="V11" s="359">
        <f>AVERAGE(P11:U11)</f>
        <v>75.333333333333329</v>
      </c>
      <c r="X11" s="162" t="s">
        <v>74</v>
      </c>
      <c r="Y11" s="154">
        <v>74</v>
      </c>
      <c r="Z11" s="155">
        <v>73</v>
      </c>
      <c r="AA11" s="155">
        <v>73</v>
      </c>
      <c r="AB11" s="155">
        <v>72</v>
      </c>
      <c r="AC11" s="155">
        <v>82</v>
      </c>
      <c r="AD11" s="285">
        <v>63</v>
      </c>
      <c r="AE11" s="275">
        <f>AVERAGE(Y11:AD11)</f>
        <v>72.833333333333329</v>
      </c>
      <c r="AF11" s="156">
        <v>83</v>
      </c>
      <c r="AG11" s="155">
        <v>79</v>
      </c>
      <c r="AH11" s="155">
        <v>76</v>
      </c>
      <c r="AI11" s="155">
        <v>69</v>
      </c>
      <c r="AJ11" s="155">
        <v>64</v>
      </c>
      <c r="AK11" s="285">
        <v>69</v>
      </c>
      <c r="AL11" s="275">
        <f>AVERAGE(AF11:AK11)</f>
        <v>73.333333333333329</v>
      </c>
      <c r="AM11" s="156">
        <v>73</v>
      </c>
      <c r="AN11" s="155">
        <v>77</v>
      </c>
      <c r="AO11" s="155">
        <v>69</v>
      </c>
      <c r="AP11" s="155">
        <v>68</v>
      </c>
      <c r="AQ11" s="155">
        <v>72</v>
      </c>
      <c r="AR11" s="187">
        <v>73</v>
      </c>
      <c r="AS11" s="275">
        <f>AVERAGE(AM11:AR11)</f>
        <v>72</v>
      </c>
      <c r="AU11" s="36" t="s">
        <v>74</v>
      </c>
      <c r="AV11" s="87">
        <v>56</v>
      </c>
      <c r="AW11" s="86">
        <v>48</v>
      </c>
      <c r="AX11" s="86">
        <v>55</v>
      </c>
      <c r="AY11" s="86">
        <v>51</v>
      </c>
      <c r="AZ11" s="86">
        <v>46</v>
      </c>
      <c r="BA11" s="96">
        <v>48</v>
      </c>
      <c r="BB11" s="213">
        <f>AVERAGE(AV11:BA11)</f>
        <v>50.666666666666664</v>
      </c>
      <c r="BC11" s="90">
        <v>44</v>
      </c>
      <c r="BD11" s="86">
        <v>55</v>
      </c>
      <c r="BE11" s="86">
        <v>49</v>
      </c>
      <c r="BF11" s="86">
        <v>44</v>
      </c>
      <c r="BG11" s="86">
        <v>48</v>
      </c>
      <c r="BH11" s="96">
        <v>51</v>
      </c>
      <c r="BI11" s="213">
        <f>AVERAGE(BC11:BH11)</f>
        <v>48.5</v>
      </c>
      <c r="BJ11" s="90">
        <v>55</v>
      </c>
      <c r="BK11" s="86">
        <v>43</v>
      </c>
      <c r="BL11" s="86">
        <v>39</v>
      </c>
      <c r="BM11" s="86">
        <v>42</v>
      </c>
      <c r="BN11" s="86">
        <v>56</v>
      </c>
      <c r="BO11" s="240">
        <v>56</v>
      </c>
      <c r="BP11" s="213">
        <f>AVERAGE(BJ11:BO11)</f>
        <v>48.5</v>
      </c>
      <c r="BR11" s="60" t="s">
        <v>74</v>
      </c>
      <c r="BS11" s="112">
        <v>66</v>
      </c>
      <c r="BT11" s="2">
        <v>63</v>
      </c>
      <c r="BU11" s="2">
        <v>60</v>
      </c>
      <c r="BV11" s="2">
        <v>57</v>
      </c>
      <c r="BW11" s="2">
        <v>62</v>
      </c>
      <c r="BX11" s="113">
        <v>59</v>
      </c>
      <c r="BY11" s="219">
        <f>AVERAGE(BS11:BX11)</f>
        <v>61.166666666666664</v>
      </c>
      <c r="BZ11" s="10">
        <v>62</v>
      </c>
      <c r="CA11" s="2">
        <v>50</v>
      </c>
      <c r="CB11" s="2">
        <v>52</v>
      </c>
      <c r="CC11" s="2">
        <v>65</v>
      </c>
      <c r="CD11" s="2">
        <v>75</v>
      </c>
      <c r="CE11" s="113">
        <v>61</v>
      </c>
      <c r="CF11" s="219">
        <f>AVERAGE(BZ11:CE11)</f>
        <v>60.833333333333336</v>
      </c>
      <c r="CG11" s="10">
        <v>62</v>
      </c>
      <c r="CH11" s="2">
        <v>58</v>
      </c>
      <c r="CI11" s="2">
        <v>51</v>
      </c>
      <c r="CJ11" s="2">
        <v>63</v>
      </c>
      <c r="CK11" s="2">
        <v>59</v>
      </c>
      <c r="CL11" s="241">
        <v>61</v>
      </c>
      <c r="CM11" s="219">
        <f>AVERAGE(CG11:CL11)</f>
        <v>59</v>
      </c>
    </row>
    <row r="12" spans="1:91" ht="15.75" thickBot="1" x14ac:dyDescent="0.3">
      <c r="A12" s="177" t="s">
        <v>75</v>
      </c>
      <c r="B12" s="363">
        <v>3604</v>
      </c>
      <c r="C12" s="344">
        <v>3589</v>
      </c>
      <c r="D12" s="364">
        <v>3613</v>
      </c>
      <c r="E12" s="327">
        <v>3550</v>
      </c>
      <c r="F12" s="327">
        <v>3633</v>
      </c>
      <c r="G12" s="327">
        <v>3644</v>
      </c>
      <c r="H12" s="171"/>
      <c r="I12" s="327"/>
      <c r="J12" s="327"/>
      <c r="K12" s="327"/>
      <c r="L12" s="327"/>
      <c r="M12" s="327"/>
      <c r="N12" s="327"/>
      <c r="O12" s="171"/>
      <c r="P12" s="327"/>
      <c r="Q12" s="327"/>
      <c r="R12" s="327"/>
      <c r="S12" s="327"/>
      <c r="T12" s="327"/>
      <c r="U12" s="365"/>
      <c r="V12" s="171">
        <f>AVERAGE(B12:G12)</f>
        <v>3605.5</v>
      </c>
      <c r="X12" s="163" t="s">
        <v>75</v>
      </c>
      <c r="Y12" s="158">
        <v>3604</v>
      </c>
      <c r="Z12" s="159">
        <v>3589</v>
      </c>
      <c r="AA12" s="285">
        <v>3613</v>
      </c>
      <c r="AB12" s="286">
        <v>3550</v>
      </c>
      <c r="AC12" s="286">
        <v>3633</v>
      </c>
      <c r="AD12" s="286">
        <v>3644</v>
      </c>
      <c r="AE12" s="162"/>
      <c r="AF12" s="286"/>
      <c r="AG12" s="286"/>
      <c r="AH12" s="286"/>
      <c r="AI12" s="286"/>
      <c r="AJ12" s="286"/>
      <c r="AK12" s="286"/>
      <c r="AL12" s="162"/>
      <c r="AM12" s="286"/>
      <c r="AN12" s="286"/>
      <c r="AO12" s="286"/>
      <c r="AP12" s="286"/>
      <c r="AQ12" s="286"/>
      <c r="AR12" s="287"/>
      <c r="AS12" s="162">
        <f>AVERAGE(Y12:AD12)</f>
        <v>3605.5</v>
      </c>
      <c r="AU12" s="38" t="s">
        <v>75</v>
      </c>
      <c r="AV12" s="88">
        <v>37679</v>
      </c>
      <c r="AW12" s="89">
        <v>37062</v>
      </c>
      <c r="AX12" s="96"/>
      <c r="AY12" s="37"/>
      <c r="AZ12" s="37"/>
      <c r="BA12" s="37"/>
      <c r="BB12" s="36"/>
      <c r="BC12" s="37"/>
      <c r="BD12" s="37"/>
      <c r="BE12" s="37"/>
      <c r="BF12" s="37"/>
      <c r="BG12" s="37"/>
      <c r="BH12" s="37"/>
      <c r="BI12" s="36"/>
      <c r="BJ12" s="37"/>
      <c r="BK12" s="37"/>
      <c r="BL12" s="37"/>
      <c r="BM12" s="37"/>
      <c r="BN12" s="37"/>
      <c r="BO12" s="223"/>
      <c r="BP12" s="36">
        <f>AVERAGE(AV12:AW12)</f>
        <v>37370.5</v>
      </c>
      <c r="BR12" s="63" t="s">
        <v>75</v>
      </c>
      <c r="BS12" s="115">
        <v>37679</v>
      </c>
      <c r="BT12" s="116">
        <v>37062</v>
      </c>
      <c r="BU12" s="113"/>
      <c r="BV12" s="59"/>
      <c r="BW12" s="59"/>
      <c r="BX12" s="59"/>
      <c r="BY12" s="60"/>
      <c r="BZ12" s="59"/>
      <c r="CA12" s="59"/>
      <c r="CB12" s="59"/>
      <c r="CC12" s="59"/>
      <c r="CD12" s="59"/>
      <c r="CE12" s="59"/>
      <c r="CF12" s="60"/>
      <c r="CG12" s="59"/>
      <c r="CH12" s="59"/>
      <c r="CI12" s="59"/>
      <c r="CJ12" s="59"/>
      <c r="CK12" s="59"/>
      <c r="CL12" s="225"/>
      <c r="CM12" s="60">
        <f>AVERAGE(BS12:BT12)</f>
        <v>37370.5</v>
      </c>
    </row>
    <row r="13" spans="1:91" ht="15.75" thickBot="1" x14ac:dyDescent="0.3">
      <c r="A13" s="366" t="s">
        <v>76</v>
      </c>
      <c r="B13" s="374">
        <f>B10-(3605.5+(AVERAGE(B11:G11)))</f>
        <v>6948.6666666666661</v>
      </c>
      <c r="C13" s="368">
        <f>C10-(3605.5+(AVERAGE(B11:G11)))</f>
        <v>9352.6666666666661</v>
      </c>
      <c r="D13" s="368">
        <f>D10-(3605.5+(AVERAGE(B11:G11)))</f>
        <v>13538.666666666666</v>
      </c>
      <c r="E13" s="368">
        <f>E10-(3605.5+(AVERAGE(B11:G11)))</f>
        <v>7796.6666666666661</v>
      </c>
      <c r="F13" s="368">
        <f>F10-(3605.5+(AVERAGE(B11:G11)))</f>
        <v>9550.6666666666661</v>
      </c>
      <c r="G13" s="375">
        <f>G10-(3605.5+(AVERAGE(B11:G11)))</f>
        <v>7179.6666666666661</v>
      </c>
      <c r="H13" s="371">
        <f>AVERAGE(B13:G13)</f>
        <v>9061.1666666666661</v>
      </c>
      <c r="I13" s="374">
        <f>I10-(3605.5+(AVERAGE(I11:N11)))</f>
        <v>5999.1666666666661</v>
      </c>
      <c r="J13" s="368">
        <f>J10-(3605.5+(AVERAGE(I11:N11)))</f>
        <v>6259.1666666666661</v>
      </c>
      <c r="K13" s="368">
        <f>K10-(3605.5+(AVERAGE(I11:N11)))</f>
        <v>9020.1666666666661</v>
      </c>
      <c r="L13" s="368">
        <f>L10-(3605.5+(AVERAGE(I11:N11)))</f>
        <v>5622.1666666666661</v>
      </c>
      <c r="M13" s="368">
        <f>M10-(3605.5+(AVERAGE(I11:N11)))</f>
        <v>9905.1666666666661</v>
      </c>
      <c r="N13" s="375">
        <f>N10-(3605.5+(AVERAGE(I11:N11)))</f>
        <v>7344.1666666666661</v>
      </c>
      <c r="O13" s="371">
        <f>AVERAGE(I13:N13)</f>
        <v>7358.3333333333321</v>
      </c>
      <c r="P13" s="374">
        <f>P10-(3605.5+(AVERAGE(P11:U11)))</f>
        <v>5796.1666666666661</v>
      </c>
      <c r="Q13" s="368">
        <f>Q10-(3605.5+(AVERAGE(P11:U11)))</f>
        <v>10441.166666666666</v>
      </c>
      <c r="R13" s="368">
        <f>R10-(3605.5+(AVERAGE(P11:U11)))</f>
        <v>13123.166666666666</v>
      </c>
      <c r="S13" s="368">
        <f>S10-(3605.5+(AVERAGE(P11:U11)))</f>
        <v>7540.1666666666661</v>
      </c>
      <c r="T13" s="368">
        <f>T10-(3605.5+(AVERAGE(P11:U11)))</f>
        <v>12020.166666666666</v>
      </c>
      <c r="U13" s="375">
        <f>U10-(3605.5+(AVERAGE(P11:U11)))</f>
        <v>14685.166666666666</v>
      </c>
      <c r="V13" s="371">
        <f>AVERAGE(P13:U13)</f>
        <v>10600.999999999998</v>
      </c>
      <c r="X13" s="277" t="s">
        <v>76</v>
      </c>
      <c r="Y13" s="278">
        <f>Y10-(3605.5+(AVERAGE(Y11:AD11)))</f>
        <v>6432.6666666666661</v>
      </c>
      <c r="Z13" s="279">
        <f>Z10-(3605.5+(AVERAGE(Y11:AD11)))</f>
        <v>7257.6666666666661</v>
      </c>
      <c r="AA13" s="279">
        <f>AA10-(3605.5+(AVERAGE(Y11:AD11)))</f>
        <v>9509.6666666666661</v>
      </c>
      <c r="AB13" s="279">
        <f>AB10-(3605.5+(AVERAGE(Y11:AD11)))</f>
        <v>8996.6666666666661</v>
      </c>
      <c r="AC13" s="279">
        <f>AC10-(3605.5+(AVERAGE(Y11:AD11)))</f>
        <v>11162.666666666666</v>
      </c>
      <c r="AD13" s="280">
        <f>AD10-(3605.5+(AVERAGE(Y11:AD11)))</f>
        <v>6628.6666666666661</v>
      </c>
      <c r="AE13" s="283">
        <f>AVERAGE(Y13:AD13)</f>
        <v>8331.3333333333321</v>
      </c>
      <c r="AF13" s="278">
        <f>AF10-(3605.5+(AVERAGE(AF11:AK11)))</f>
        <v>8406.1666666666661</v>
      </c>
      <c r="AG13" s="279">
        <f>AG10-(3605.5+(AVERAGE(AF11:AK11)))</f>
        <v>7215.1666666666661</v>
      </c>
      <c r="AH13" s="279">
        <f>AH10-(3605.5+(AVERAGE(AF11:AK11)))</f>
        <v>7262.1666666666661</v>
      </c>
      <c r="AI13" s="279">
        <f>AI10-(3605.5+(AVERAGE(AF11:AK11)))</f>
        <v>7092.1666666666661</v>
      </c>
      <c r="AJ13" s="279">
        <f>AJ10-(3605.5+(AVERAGE(AF11:AK11)))</f>
        <v>8728.1666666666661</v>
      </c>
      <c r="AK13" s="280">
        <f>AK10-(3605.5+(AVERAGE(AF11:AK11)))</f>
        <v>4401.1666666666661</v>
      </c>
      <c r="AL13" s="283">
        <f>AVERAGE(AF13:AK13)</f>
        <v>7184.1666666666652</v>
      </c>
      <c r="AM13" s="278">
        <f>AM10-(3605.5+(AVERAGE(AM11:AR11)))</f>
        <v>7681.5</v>
      </c>
      <c r="AN13" s="279">
        <f>AN10-(3605.5+(AVERAGE(AM11:AR11)))</f>
        <v>6475.5</v>
      </c>
      <c r="AO13" s="279">
        <f>AO10-(3605.5+(AVERAGE(AM11:AR11)))</f>
        <v>5917.5</v>
      </c>
      <c r="AP13" s="279">
        <f>AP10-(3605.5+(AVERAGE(AM11:AR11)))</f>
        <v>7857.5</v>
      </c>
      <c r="AQ13" s="279">
        <f>AQ10-(3605.5+(AVERAGE(AM11:AR11)))</f>
        <v>4891.5</v>
      </c>
      <c r="AR13" s="280">
        <f>AR10-(3605.5+(AVERAGE(AM11:AR11)))</f>
        <v>7515.5</v>
      </c>
      <c r="AS13" s="283">
        <f>AVERAGE(AM13:AR13)</f>
        <v>6723.166666666667</v>
      </c>
      <c r="AU13" s="226" t="s">
        <v>76</v>
      </c>
      <c r="AV13" s="242">
        <f>AV10-(37370+(AVERAGE(AV11:BA11)))</f>
        <v>27977.333333333336</v>
      </c>
      <c r="AW13" s="228">
        <f>AW10-(37370+(AVERAGE(AV11:BA11)))</f>
        <v>41076.333333333336</v>
      </c>
      <c r="AX13" s="228">
        <f>AX10-(37370+(AVERAGE(AV11:BA11)))</f>
        <v>43654.333333333336</v>
      </c>
      <c r="AY13" s="228">
        <f>AY10-(37370+(AVERAGE(AV11:BA11)))</f>
        <v>43702.333333333336</v>
      </c>
      <c r="AZ13" s="228">
        <f>AZ10-(37370+(AVERAGE(AV11:BA11)))</f>
        <v>44268.333333333336</v>
      </c>
      <c r="BA13" s="243">
        <f>BA10-(37370+(AVERAGE(AV11:BA11)))</f>
        <v>41265.333333333336</v>
      </c>
      <c r="BB13" s="231">
        <f>AVERAGE(AV13:BA13)</f>
        <v>40324.000000000007</v>
      </c>
      <c r="BC13" s="242">
        <f>BC10-(37370+(AVERAGE(BC11:BH11)))</f>
        <v>42768.5</v>
      </c>
      <c r="BD13" s="228">
        <f>BD10-(37370+(AVERAGE(BC11:BH11)))</f>
        <v>64267.5</v>
      </c>
      <c r="BE13" s="228">
        <f>BE10-(37370+(AVERAGE(BC11:BH11)))</f>
        <v>61626.5</v>
      </c>
      <c r="BF13" s="228">
        <f>BF10-(37370+(AVERAGE(BC11:BH11)))</f>
        <v>63691.5</v>
      </c>
      <c r="BG13" s="228">
        <f>BG10-(37370+(AVERAGE(BC11:BH11)))</f>
        <v>65351.5</v>
      </c>
      <c r="BH13" s="243">
        <f>BH10-(37370+(AVERAGE(BC11:BH11)))</f>
        <v>63601.5</v>
      </c>
      <c r="BI13" s="231">
        <f>AVERAGE(BC13:BH13)</f>
        <v>60217.833333333336</v>
      </c>
      <c r="BJ13" s="242">
        <f>BJ10-(37370+(AVERAGE(BJ11:BO11)))</f>
        <v>19419.5</v>
      </c>
      <c r="BK13" s="228">
        <f>BK10-(37370+(AVERAGE(BJ11:BO11)))</f>
        <v>56524.5</v>
      </c>
      <c r="BL13" s="228">
        <f>BL10-(37370+(AVERAGE(BJ11:BO11)))</f>
        <v>54741.5</v>
      </c>
      <c r="BM13" s="228">
        <f>BM10-(37370+(AVERAGE(BJ11:BO11)))</f>
        <v>55739.5</v>
      </c>
      <c r="BN13" s="228">
        <f>BN10-(37370+(AVERAGE(BJ11:BO11)))</f>
        <v>50699.5</v>
      </c>
      <c r="BO13" s="243">
        <f>BO10-(37370+(AVERAGE(BJ11:BO11)))</f>
        <v>50588.5</v>
      </c>
      <c r="BP13" s="231">
        <f>AVERAGE(BJ13:BO13)</f>
        <v>47952.166666666664</v>
      </c>
      <c r="BR13" s="232" t="s">
        <v>76</v>
      </c>
      <c r="BS13" s="244">
        <f>BS10-(37370+(AVERAGE(BS11:BX11)))</f>
        <v>29939.833333333336</v>
      </c>
      <c r="BT13" s="234">
        <f>BT10-(37370+(AVERAGE(BS11:BX11)))</f>
        <v>29208.833333333336</v>
      </c>
      <c r="BU13" s="234">
        <f>BU10-(37370+(AVERAGE(BS11:BX11)))</f>
        <v>29515.833333333336</v>
      </c>
      <c r="BV13" s="234">
        <f>BV10-(37370+(AVERAGE(BS11:BX11)))</f>
        <v>28352.833333333336</v>
      </c>
      <c r="BW13" s="234">
        <f>BW10-(37370+(AVERAGE(BS11:BX11)))</f>
        <v>30777.833333333336</v>
      </c>
      <c r="BX13" s="245">
        <f>BX10-(37370+(AVERAGE(BS11:BX11)))</f>
        <v>8232.8333333333358</v>
      </c>
      <c r="BY13" s="237">
        <f>AVERAGE(BS13:BX13)</f>
        <v>26004.666666666672</v>
      </c>
      <c r="BZ13" s="244">
        <f>BZ10-(37370+(AVERAGE(BZ11:CE11)))</f>
        <v>49860.166666666664</v>
      </c>
      <c r="CA13" s="234">
        <f>CA10-(37370+(AVERAGE(BZ11:CE11)))</f>
        <v>30788.166666666664</v>
      </c>
      <c r="CB13" s="234">
        <f>CB10-(37370+(AVERAGE(BZ11:CE11)))</f>
        <v>34979.166666666664</v>
      </c>
      <c r="CC13" s="234">
        <f>CC10-(37370+(AVERAGE(BZ11:CE11)))</f>
        <v>38161.166666666664</v>
      </c>
      <c r="CD13" s="234">
        <f>CD10-(37370+(AVERAGE(BZ11:CE11)))</f>
        <v>52366.166666666664</v>
      </c>
      <c r="CE13" s="245">
        <f>CE10-(37370+(AVERAGE(BZ11:CE11)))</f>
        <v>22850.166666666664</v>
      </c>
      <c r="CF13" s="237">
        <f>AVERAGE(BZ13:CE13)</f>
        <v>38167.499999999993</v>
      </c>
      <c r="CG13" s="244">
        <f>CG10-(37370+(AVERAGE(CG11:CL11)))</f>
        <v>18788</v>
      </c>
      <c r="CH13" s="234">
        <f>CH10-(37370+(AVERAGE(CG11:CL11)))</f>
        <v>17024</v>
      </c>
      <c r="CI13" s="234">
        <f>CI10-(37370+(AVERAGE(CG11:CL11)))</f>
        <v>15609</v>
      </c>
      <c r="CJ13" s="234">
        <f>CJ10-(37370+(AVERAGE(CG11:CL11)))</f>
        <v>8403</v>
      </c>
      <c r="CK13" s="234">
        <f>CK10-(37370+(AVERAGE(CG11:CL11)))</f>
        <v>8558</v>
      </c>
      <c r="CL13" s="245">
        <f>CL10-(37370+(AVERAGE(CG11:CL11)))</f>
        <v>6510</v>
      </c>
      <c r="CM13" s="237">
        <f>AVERAGE(CG13:CL13)</f>
        <v>12482</v>
      </c>
    </row>
    <row r="14" spans="1:91" ht="15.75" thickBot="1" x14ac:dyDescent="0.3">
      <c r="H14" s="291"/>
      <c r="O14" s="291"/>
      <c r="P14" s="291"/>
      <c r="U14" s="291"/>
      <c r="V14"/>
      <c r="AE14" s="291"/>
      <c r="AF14" s="291"/>
      <c r="AL14" s="291"/>
      <c r="AM14" s="291"/>
      <c r="AS14" s="291"/>
      <c r="BB14" s="291"/>
      <c r="BI14" s="291"/>
      <c r="BJ14" s="291"/>
      <c r="BO14" s="291"/>
      <c r="BY14" s="291"/>
      <c r="BZ14" s="291"/>
      <c r="CF14" s="291"/>
      <c r="CG14" s="291"/>
      <c r="CM14" s="291"/>
    </row>
    <row r="15" spans="1:91" x14ac:dyDescent="0.25">
      <c r="A15" s="638" t="s">
        <v>93</v>
      </c>
      <c r="B15" s="640" t="s">
        <v>69</v>
      </c>
      <c r="C15" s="641"/>
      <c r="D15" s="641"/>
      <c r="E15" s="641"/>
      <c r="F15" s="641"/>
      <c r="G15" s="642"/>
      <c r="H15" s="643"/>
      <c r="I15" s="640" t="s">
        <v>70</v>
      </c>
      <c r="J15" s="641"/>
      <c r="K15" s="641"/>
      <c r="L15" s="641"/>
      <c r="M15" s="641"/>
      <c r="N15" s="642"/>
      <c r="O15" s="643"/>
      <c r="P15" s="640" t="s">
        <v>71</v>
      </c>
      <c r="Q15" s="641"/>
      <c r="R15" s="641"/>
      <c r="S15" s="641"/>
      <c r="T15" s="641"/>
      <c r="U15" s="642"/>
      <c r="V15" s="643"/>
      <c r="X15" s="645" t="s">
        <v>94</v>
      </c>
      <c r="Y15" s="616" t="s">
        <v>69</v>
      </c>
      <c r="Z15" s="617"/>
      <c r="AA15" s="617"/>
      <c r="AB15" s="617"/>
      <c r="AC15" s="617"/>
      <c r="AD15" s="635"/>
      <c r="AE15" s="636"/>
      <c r="AF15" s="616" t="s">
        <v>70</v>
      </c>
      <c r="AG15" s="617"/>
      <c r="AH15" s="617"/>
      <c r="AI15" s="617"/>
      <c r="AJ15" s="617"/>
      <c r="AK15" s="635"/>
      <c r="AL15" s="636"/>
      <c r="AM15" s="616" t="s">
        <v>71</v>
      </c>
      <c r="AN15" s="617"/>
      <c r="AO15" s="617"/>
      <c r="AP15" s="617"/>
      <c r="AQ15" s="617"/>
      <c r="AR15" s="635"/>
      <c r="AS15" s="636"/>
      <c r="AU15" s="650" t="s">
        <v>79</v>
      </c>
      <c r="AV15" s="607" t="s">
        <v>69</v>
      </c>
      <c r="AW15" s="608"/>
      <c r="AX15" s="608"/>
      <c r="AY15" s="608"/>
      <c r="AZ15" s="608"/>
      <c r="BA15" s="655"/>
      <c r="BB15" s="653" t="s">
        <v>52</v>
      </c>
      <c r="BC15" s="607" t="s">
        <v>70</v>
      </c>
      <c r="BD15" s="608"/>
      <c r="BE15" s="608"/>
      <c r="BF15" s="608"/>
      <c r="BG15" s="608"/>
      <c r="BH15" s="655"/>
      <c r="BI15" s="653" t="s">
        <v>52</v>
      </c>
      <c r="BJ15" s="607" t="s">
        <v>71</v>
      </c>
      <c r="BK15" s="608"/>
      <c r="BL15" s="608"/>
      <c r="BM15" s="608"/>
      <c r="BN15" s="608"/>
      <c r="BO15" s="655"/>
      <c r="BP15" s="653" t="s">
        <v>52</v>
      </c>
      <c r="BR15" s="511" t="s">
        <v>80</v>
      </c>
      <c r="BS15" s="623" t="s">
        <v>69</v>
      </c>
      <c r="BT15" s="624"/>
      <c r="BU15" s="624"/>
      <c r="BV15" s="624"/>
      <c r="BW15" s="624"/>
      <c r="BX15" s="658"/>
      <c r="BY15" s="656" t="s">
        <v>52</v>
      </c>
      <c r="BZ15" s="623" t="s">
        <v>70</v>
      </c>
      <c r="CA15" s="624"/>
      <c r="CB15" s="624"/>
      <c r="CC15" s="624"/>
      <c r="CD15" s="624"/>
      <c r="CE15" s="658"/>
      <c r="CF15" s="656" t="s">
        <v>52</v>
      </c>
      <c r="CG15" s="623" t="s">
        <v>71</v>
      </c>
      <c r="CH15" s="624"/>
      <c r="CI15" s="624"/>
      <c r="CJ15" s="624"/>
      <c r="CK15" s="624"/>
      <c r="CL15" s="658"/>
      <c r="CM15" s="656" t="s">
        <v>52</v>
      </c>
    </row>
    <row r="16" spans="1:91" ht="15.75" thickBot="1" x14ac:dyDescent="0.3">
      <c r="A16" s="639"/>
      <c r="B16" s="363">
        <v>1</v>
      </c>
      <c r="C16" s="344">
        <v>2</v>
      </c>
      <c r="D16" s="344">
        <v>3</v>
      </c>
      <c r="E16" s="344">
        <v>4</v>
      </c>
      <c r="F16" s="344">
        <v>5</v>
      </c>
      <c r="G16" s="345">
        <v>6</v>
      </c>
      <c r="H16" s="644"/>
      <c r="I16" s="343">
        <v>1</v>
      </c>
      <c r="J16" s="344">
        <v>2</v>
      </c>
      <c r="K16" s="344">
        <v>3</v>
      </c>
      <c r="L16" s="344">
        <v>4</v>
      </c>
      <c r="M16" s="344">
        <v>5</v>
      </c>
      <c r="N16" s="345">
        <v>6</v>
      </c>
      <c r="O16" s="644"/>
      <c r="P16" s="343">
        <v>1</v>
      </c>
      <c r="Q16" s="344">
        <v>2</v>
      </c>
      <c r="R16" s="344">
        <v>3</v>
      </c>
      <c r="S16" s="344">
        <v>4</v>
      </c>
      <c r="T16" s="344">
        <v>5</v>
      </c>
      <c r="U16" s="346">
        <v>6</v>
      </c>
      <c r="V16" s="644"/>
      <c r="X16" s="646"/>
      <c r="Y16" s="158">
        <v>1</v>
      </c>
      <c r="Z16" s="159">
        <v>2</v>
      </c>
      <c r="AA16" s="159">
        <v>3</v>
      </c>
      <c r="AB16" s="159">
        <v>4</v>
      </c>
      <c r="AC16" s="159">
        <v>5</v>
      </c>
      <c r="AD16" s="266">
        <v>6</v>
      </c>
      <c r="AE16" s="637"/>
      <c r="AF16" s="160">
        <v>1</v>
      </c>
      <c r="AG16" s="159">
        <v>2</v>
      </c>
      <c r="AH16" s="159">
        <v>3</v>
      </c>
      <c r="AI16" s="159">
        <v>4</v>
      </c>
      <c r="AJ16" s="159">
        <v>5</v>
      </c>
      <c r="AK16" s="266">
        <v>6</v>
      </c>
      <c r="AL16" s="637"/>
      <c r="AM16" s="160">
        <v>1</v>
      </c>
      <c r="AN16" s="159">
        <v>2</v>
      </c>
      <c r="AO16" s="159">
        <v>3</v>
      </c>
      <c r="AP16" s="159">
        <v>4</v>
      </c>
      <c r="AQ16" s="159">
        <v>5</v>
      </c>
      <c r="AR16" s="267">
        <v>6</v>
      </c>
      <c r="AS16" s="637"/>
      <c r="AU16" s="651"/>
      <c r="AV16" s="88">
        <v>1</v>
      </c>
      <c r="AW16" s="89">
        <v>2</v>
      </c>
      <c r="AX16" s="89">
        <v>3</v>
      </c>
      <c r="AY16" s="89">
        <v>4</v>
      </c>
      <c r="AZ16" s="89">
        <v>5</v>
      </c>
      <c r="BA16" s="97">
        <v>6</v>
      </c>
      <c r="BB16" s="654"/>
      <c r="BC16" s="91">
        <v>1</v>
      </c>
      <c r="BD16" s="89">
        <v>2</v>
      </c>
      <c r="BE16" s="89">
        <v>3</v>
      </c>
      <c r="BF16" s="89">
        <v>4</v>
      </c>
      <c r="BG16" s="89">
        <v>5</v>
      </c>
      <c r="BH16" s="97">
        <v>6</v>
      </c>
      <c r="BI16" s="654"/>
      <c r="BJ16" s="91">
        <v>1</v>
      </c>
      <c r="BK16" s="89">
        <v>2</v>
      </c>
      <c r="BL16" s="89">
        <v>3</v>
      </c>
      <c r="BM16" s="89">
        <v>4</v>
      </c>
      <c r="BN16" s="89">
        <v>5</v>
      </c>
      <c r="BO16" s="200">
        <v>6</v>
      </c>
      <c r="BP16" s="654"/>
      <c r="BR16" s="512"/>
      <c r="BS16" s="115">
        <v>1</v>
      </c>
      <c r="BT16" s="116">
        <v>2</v>
      </c>
      <c r="BU16" s="116">
        <v>3</v>
      </c>
      <c r="BV16" s="116">
        <v>4</v>
      </c>
      <c r="BW16" s="116">
        <v>5</v>
      </c>
      <c r="BX16" s="117">
        <v>6</v>
      </c>
      <c r="BY16" s="657"/>
      <c r="BZ16" s="118">
        <v>1</v>
      </c>
      <c r="CA16" s="116">
        <v>2</v>
      </c>
      <c r="CB16" s="116">
        <v>3</v>
      </c>
      <c r="CC16" s="116">
        <v>4</v>
      </c>
      <c r="CD16" s="116">
        <v>5</v>
      </c>
      <c r="CE16" s="117">
        <v>6</v>
      </c>
      <c r="CF16" s="657"/>
      <c r="CG16" s="118">
        <v>1</v>
      </c>
      <c r="CH16" s="116">
        <v>2</v>
      </c>
      <c r="CI16" s="116">
        <v>3</v>
      </c>
      <c r="CJ16" s="116">
        <v>4</v>
      </c>
      <c r="CK16" s="116">
        <v>5</v>
      </c>
      <c r="CL16" s="201">
        <v>6</v>
      </c>
      <c r="CM16" s="657"/>
    </row>
    <row r="17" spans="1:91" x14ac:dyDescent="0.25">
      <c r="A17" s="351" t="s">
        <v>73</v>
      </c>
      <c r="B17" s="348">
        <v>17658</v>
      </c>
      <c r="C17" s="349">
        <v>9163</v>
      </c>
      <c r="D17" s="349">
        <v>9796</v>
      </c>
      <c r="E17" s="349">
        <v>8478</v>
      </c>
      <c r="F17" s="349">
        <v>9779</v>
      </c>
      <c r="G17" s="350">
        <v>8293</v>
      </c>
      <c r="H17" s="351">
        <f>AVERAGE(B17:G17)</f>
        <v>10527.833333333334</v>
      </c>
      <c r="I17" s="352">
        <v>12692</v>
      </c>
      <c r="J17" s="349">
        <v>9533</v>
      </c>
      <c r="K17" s="349">
        <v>10997</v>
      </c>
      <c r="L17" s="349">
        <v>7173</v>
      </c>
      <c r="M17" s="349">
        <v>7293</v>
      </c>
      <c r="N17" s="350">
        <v>6254</v>
      </c>
      <c r="O17" s="351">
        <f>AVERAGE(I17:N17)</f>
        <v>8990.3333333333339</v>
      </c>
      <c r="P17" s="352">
        <v>18417</v>
      </c>
      <c r="Q17" s="349">
        <v>18066</v>
      </c>
      <c r="R17" s="349">
        <v>23757</v>
      </c>
      <c r="S17" s="349">
        <v>8106</v>
      </c>
      <c r="T17" s="349">
        <v>16839</v>
      </c>
      <c r="U17" s="353">
        <v>9365</v>
      </c>
      <c r="V17" s="351">
        <f>AVERAGE(P17:U17)</f>
        <v>15758.333333333334</v>
      </c>
      <c r="X17" s="161" t="s">
        <v>73</v>
      </c>
      <c r="Y17" s="150">
        <v>7303</v>
      </c>
      <c r="Z17" s="151">
        <v>7546</v>
      </c>
      <c r="AA17" s="151">
        <v>8175</v>
      </c>
      <c r="AB17" s="151">
        <v>8966</v>
      </c>
      <c r="AC17" s="151">
        <v>9130</v>
      </c>
      <c r="AD17" s="185">
        <v>5706</v>
      </c>
      <c r="AE17" s="161">
        <f>AVERAGE(Y17:AD17)</f>
        <v>7804.333333333333</v>
      </c>
      <c r="AF17" s="150">
        <v>9142</v>
      </c>
      <c r="AG17" s="151">
        <v>8590</v>
      </c>
      <c r="AH17" s="151">
        <v>9763</v>
      </c>
      <c r="AI17" s="151">
        <v>8092</v>
      </c>
      <c r="AJ17" s="151">
        <v>8833</v>
      </c>
      <c r="AK17" s="185">
        <v>9098</v>
      </c>
      <c r="AL17" s="161">
        <f>AVERAGE(AF17:AK17)</f>
        <v>8919.6666666666661</v>
      </c>
      <c r="AM17" s="150">
        <v>6330</v>
      </c>
      <c r="AN17" s="151">
        <v>6119</v>
      </c>
      <c r="AO17" s="151">
        <v>7550</v>
      </c>
      <c r="AP17" s="151">
        <v>8349</v>
      </c>
      <c r="AQ17" s="151">
        <v>6571</v>
      </c>
      <c r="AR17" s="185">
        <v>5741</v>
      </c>
      <c r="AS17" s="161">
        <f>AVERAGE(AM17:AR17)</f>
        <v>6776.666666666667</v>
      </c>
      <c r="AU17" s="29" t="s">
        <v>73</v>
      </c>
      <c r="AV17" s="203">
        <v>48601</v>
      </c>
      <c r="AW17" s="204">
        <v>71659</v>
      </c>
      <c r="AX17" s="204">
        <v>71166</v>
      </c>
      <c r="AY17" s="204">
        <v>73669</v>
      </c>
      <c r="AZ17" s="204">
        <v>71264</v>
      </c>
      <c r="BA17" s="205">
        <v>63913</v>
      </c>
      <c r="BB17" s="29">
        <f>AVERAGE(AV17:BA17)</f>
        <v>66712</v>
      </c>
      <c r="BC17" s="206">
        <v>58562</v>
      </c>
      <c r="BD17" s="204">
        <v>85469</v>
      </c>
      <c r="BE17" s="204">
        <v>89743</v>
      </c>
      <c r="BF17" s="204">
        <v>86327</v>
      </c>
      <c r="BG17" s="204">
        <v>91567</v>
      </c>
      <c r="BH17" s="205">
        <v>87238</v>
      </c>
      <c r="BI17" s="29">
        <f>AVERAGE(BC17:BH17)</f>
        <v>83151</v>
      </c>
      <c r="BJ17" s="206">
        <v>68691</v>
      </c>
      <c r="BK17" s="204">
        <v>84813</v>
      </c>
      <c r="BL17" s="204">
        <v>86774</v>
      </c>
      <c r="BM17" s="246"/>
      <c r="BN17" s="204">
        <v>82134</v>
      </c>
      <c r="BO17" s="207">
        <v>76401</v>
      </c>
      <c r="BP17" s="29">
        <f>AVERAGE(BJ17:BO17)</f>
        <v>79762.600000000006</v>
      </c>
      <c r="BR17" s="51" t="s">
        <v>73</v>
      </c>
      <c r="BS17" s="107">
        <v>61564</v>
      </c>
      <c r="BT17" s="108">
        <v>57636</v>
      </c>
      <c r="BU17" s="108">
        <v>61307</v>
      </c>
      <c r="BV17" s="108">
        <v>54761</v>
      </c>
      <c r="BW17" s="108">
        <v>45554</v>
      </c>
      <c r="BX17" s="209">
        <v>42566</v>
      </c>
      <c r="BY17" s="51">
        <f>AVERAGE(BS17:BX17)</f>
        <v>53898</v>
      </c>
      <c r="BZ17" s="107">
        <v>88762</v>
      </c>
      <c r="CA17" s="108">
        <v>83865</v>
      </c>
      <c r="CB17" s="108">
        <v>86367</v>
      </c>
      <c r="CC17" s="108">
        <v>72286</v>
      </c>
      <c r="CD17" s="108">
        <v>55206</v>
      </c>
      <c r="CE17" s="209">
        <v>51705</v>
      </c>
      <c r="CF17" s="51">
        <f>AVERAGE(BZ17:CE17)</f>
        <v>73031.833333333328</v>
      </c>
      <c r="CG17" s="107">
        <v>46447</v>
      </c>
      <c r="CH17" s="108">
        <v>42718</v>
      </c>
      <c r="CI17" s="108">
        <v>45356</v>
      </c>
      <c r="CJ17" s="108">
        <v>42344</v>
      </c>
      <c r="CK17" s="108">
        <v>43628</v>
      </c>
      <c r="CL17" s="209">
        <v>41942</v>
      </c>
      <c r="CM17" s="51">
        <f>AVERAGE(CG17:CL17)</f>
        <v>43739.166666666664</v>
      </c>
    </row>
    <row r="18" spans="1:91" x14ac:dyDescent="0.25">
      <c r="A18" s="171" t="s">
        <v>74</v>
      </c>
      <c r="B18" s="355">
        <v>71</v>
      </c>
      <c r="C18" s="356">
        <v>73</v>
      </c>
      <c r="D18" s="356">
        <v>71</v>
      </c>
      <c r="E18" s="356">
        <v>83</v>
      </c>
      <c r="F18" s="356">
        <v>69</v>
      </c>
      <c r="G18" s="364">
        <v>74</v>
      </c>
      <c r="H18" s="359">
        <f>AVERAGE(B18:G18)</f>
        <v>73.5</v>
      </c>
      <c r="I18" s="372">
        <v>81</v>
      </c>
      <c r="J18" s="356">
        <v>80</v>
      </c>
      <c r="K18" s="356">
        <v>77</v>
      </c>
      <c r="L18" s="356">
        <v>71</v>
      </c>
      <c r="M18" s="356">
        <v>76</v>
      </c>
      <c r="N18" s="364">
        <v>79</v>
      </c>
      <c r="O18" s="359">
        <f>AVERAGE(I18:N18)</f>
        <v>77.333333333333329</v>
      </c>
      <c r="P18" s="372">
        <v>82</v>
      </c>
      <c r="Q18" s="356">
        <v>83</v>
      </c>
      <c r="R18" s="356">
        <v>67</v>
      </c>
      <c r="S18" s="356">
        <v>76</v>
      </c>
      <c r="T18" s="356">
        <v>78</v>
      </c>
      <c r="U18" s="373">
        <v>76</v>
      </c>
      <c r="V18" s="359">
        <f>AVERAGE(P18:U18)</f>
        <v>77</v>
      </c>
      <c r="X18" s="162" t="s">
        <v>74</v>
      </c>
      <c r="Y18" s="385">
        <v>70</v>
      </c>
      <c r="Z18" s="386">
        <v>68</v>
      </c>
      <c r="AA18" s="386">
        <v>72</v>
      </c>
      <c r="AB18" s="386">
        <v>79</v>
      </c>
      <c r="AC18" s="386">
        <v>72</v>
      </c>
      <c r="AD18" s="387">
        <v>76</v>
      </c>
      <c r="AE18" s="275">
        <f>AVERAGE(Y18:AD18)</f>
        <v>72.833333333333329</v>
      </c>
      <c r="AF18" s="388">
        <v>82</v>
      </c>
      <c r="AG18" s="386">
        <v>79</v>
      </c>
      <c r="AH18" s="386">
        <v>79</v>
      </c>
      <c r="AI18" s="386">
        <v>63</v>
      </c>
      <c r="AJ18" s="386">
        <v>69</v>
      </c>
      <c r="AK18" s="387">
        <v>83</v>
      </c>
      <c r="AL18" s="275">
        <f>AVERAGE(AF18:AK18)</f>
        <v>75.833333333333329</v>
      </c>
      <c r="AM18" s="388">
        <v>87</v>
      </c>
      <c r="AN18" s="386">
        <v>85</v>
      </c>
      <c r="AO18" s="386">
        <v>71</v>
      </c>
      <c r="AP18" s="386">
        <v>64</v>
      </c>
      <c r="AQ18" s="386">
        <v>70</v>
      </c>
      <c r="AR18" s="389">
        <v>71</v>
      </c>
      <c r="AS18" s="275">
        <f>AVERAGE(AM18:AR18)</f>
        <v>74.666666666666671</v>
      </c>
      <c r="AU18" s="36" t="s">
        <v>74</v>
      </c>
      <c r="AV18" s="87">
        <v>52</v>
      </c>
      <c r="AW18" s="86">
        <v>42</v>
      </c>
      <c r="AX18" s="86">
        <v>48</v>
      </c>
      <c r="AY18" s="86">
        <v>52</v>
      </c>
      <c r="AZ18" s="86">
        <v>55</v>
      </c>
      <c r="BA18" s="96">
        <v>40</v>
      </c>
      <c r="BB18" s="213">
        <f>AVERAGE(AV18:BA18)</f>
        <v>48.166666666666664</v>
      </c>
      <c r="BC18" s="90">
        <v>45</v>
      </c>
      <c r="BD18" s="86">
        <v>41</v>
      </c>
      <c r="BE18" s="86">
        <v>50</v>
      </c>
      <c r="BF18" s="86">
        <v>56</v>
      </c>
      <c r="BG18" s="86">
        <v>56</v>
      </c>
      <c r="BH18" s="96">
        <v>50</v>
      </c>
      <c r="BI18" s="213">
        <f>AVERAGE(BC18:BH18)</f>
        <v>49.666666666666664</v>
      </c>
      <c r="BJ18" s="90">
        <v>48</v>
      </c>
      <c r="BK18" s="86">
        <v>49</v>
      </c>
      <c r="BL18" s="86">
        <v>53</v>
      </c>
      <c r="BM18" s="86">
        <v>53</v>
      </c>
      <c r="BN18" s="86">
        <v>61</v>
      </c>
      <c r="BO18" s="240">
        <v>59</v>
      </c>
      <c r="BP18" s="213">
        <f>AVERAGE(BJ18:BO18)</f>
        <v>53.833333333333336</v>
      </c>
      <c r="BR18" s="60" t="s">
        <v>74</v>
      </c>
      <c r="BS18" s="247">
        <v>56</v>
      </c>
      <c r="BT18" s="5">
        <v>58</v>
      </c>
      <c r="BU18" s="5">
        <v>53</v>
      </c>
      <c r="BV18" s="5">
        <v>73</v>
      </c>
      <c r="BW18" s="5">
        <v>62</v>
      </c>
      <c r="BX18" s="248">
        <v>71</v>
      </c>
      <c r="BY18" s="219">
        <f>AVERAGE(BS18:BX18)</f>
        <v>62.166666666666664</v>
      </c>
      <c r="BZ18" s="9">
        <v>51</v>
      </c>
      <c r="CA18" s="5">
        <v>68</v>
      </c>
      <c r="CB18" s="5">
        <v>60</v>
      </c>
      <c r="CC18" s="5">
        <v>55</v>
      </c>
      <c r="CD18" s="5">
        <v>59</v>
      </c>
      <c r="CE18" s="248">
        <v>69</v>
      </c>
      <c r="CF18" s="219">
        <f>AVERAGE(BZ18:CE18)</f>
        <v>60.333333333333336</v>
      </c>
      <c r="CG18" s="9">
        <v>64</v>
      </c>
      <c r="CH18" s="5">
        <v>67</v>
      </c>
      <c r="CI18" s="5">
        <v>68</v>
      </c>
      <c r="CJ18" s="5">
        <v>63</v>
      </c>
      <c r="CK18" s="5">
        <v>62</v>
      </c>
      <c r="CL18" s="249">
        <v>75</v>
      </c>
      <c r="CM18" s="219">
        <f>AVERAGE(CG18:CL18)</f>
        <v>66.5</v>
      </c>
    </row>
    <row r="19" spans="1:91" ht="15.75" thickBot="1" x14ac:dyDescent="0.3">
      <c r="A19" s="177" t="s">
        <v>75</v>
      </c>
      <c r="B19" s="363">
        <v>3638</v>
      </c>
      <c r="C19" s="344">
        <v>3628</v>
      </c>
      <c r="D19" s="364">
        <v>3614</v>
      </c>
      <c r="E19" s="327">
        <v>3589</v>
      </c>
      <c r="F19" s="327">
        <v>3595</v>
      </c>
      <c r="G19" s="327">
        <v>3639</v>
      </c>
      <c r="H19" s="171"/>
      <c r="I19" s="327"/>
      <c r="J19" s="327"/>
      <c r="K19" s="327"/>
      <c r="L19" s="327"/>
      <c r="M19" s="327"/>
      <c r="N19" s="327"/>
      <c r="O19" s="171"/>
      <c r="P19" s="327"/>
      <c r="Q19" s="327"/>
      <c r="R19" s="327"/>
      <c r="S19" s="327"/>
      <c r="T19" s="327"/>
      <c r="U19" s="365"/>
      <c r="V19" s="171">
        <f>AVERAGE(B19:G19)</f>
        <v>3617.1666666666665</v>
      </c>
      <c r="X19" s="163" t="s">
        <v>75</v>
      </c>
      <c r="Y19" s="158">
        <v>3638</v>
      </c>
      <c r="Z19" s="159">
        <v>3628</v>
      </c>
      <c r="AA19" s="285">
        <v>3614</v>
      </c>
      <c r="AB19" s="286">
        <v>3589</v>
      </c>
      <c r="AC19" s="286">
        <v>3595</v>
      </c>
      <c r="AD19" s="286">
        <v>3639</v>
      </c>
      <c r="AE19" s="162"/>
      <c r="AF19" s="286"/>
      <c r="AG19" s="286"/>
      <c r="AH19" s="286"/>
      <c r="AI19" s="286"/>
      <c r="AJ19" s="286"/>
      <c r="AK19" s="286"/>
      <c r="AL19" s="162"/>
      <c r="AM19" s="286"/>
      <c r="AN19" s="286"/>
      <c r="AO19" s="286"/>
      <c r="AP19" s="286"/>
      <c r="AQ19" s="286"/>
      <c r="AR19" s="287"/>
      <c r="AS19" s="162">
        <f>AVERAGE(Y19:AD19)</f>
        <v>3617.1666666666665</v>
      </c>
      <c r="AU19" s="38" t="s">
        <v>75</v>
      </c>
      <c r="AV19" s="88">
        <v>37716</v>
      </c>
      <c r="AW19" s="89">
        <v>35354</v>
      </c>
      <c r="AX19" s="96"/>
      <c r="AY19" s="37"/>
      <c r="AZ19" s="37"/>
      <c r="BA19" s="37"/>
      <c r="BB19" s="36"/>
      <c r="BC19" s="37"/>
      <c r="BD19" s="37"/>
      <c r="BE19" s="37"/>
      <c r="BF19" s="37"/>
      <c r="BG19" s="37"/>
      <c r="BH19" s="37"/>
      <c r="BI19" s="36"/>
      <c r="BJ19" s="37"/>
      <c r="BK19" s="37"/>
      <c r="BL19" s="37"/>
      <c r="BM19" s="37"/>
      <c r="BN19" s="37"/>
      <c r="BO19" s="223"/>
      <c r="BP19" s="36">
        <f>AVERAGE(AV19:AW19)</f>
        <v>36535</v>
      </c>
      <c r="BR19" s="63" t="s">
        <v>75</v>
      </c>
      <c r="BS19" s="115">
        <v>37716</v>
      </c>
      <c r="BT19" s="116">
        <v>35354</v>
      </c>
      <c r="BU19" s="113"/>
      <c r="BV19" s="59"/>
      <c r="BW19" s="59"/>
      <c r="BX19" s="59"/>
      <c r="BY19" s="60"/>
      <c r="BZ19" s="59"/>
      <c r="CA19" s="59"/>
      <c r="CB19" s="59"/>
      <c r="CC19" s="59"/>
      <c r="CD19" s="59"/>
      <c r="CE19" s="59"/>
      <c r="CF19" s="60"/>
      <c r="CG19" s="59"/>
      <c r="CH19" s="59"/>
      <c r="CI19" s="59"/>
      <c r="CJ19" s="59"/>
      <c r="CK19" s="59"/>
      <c r="CL19" s="225"/>
      <c r="CM19" s="60">
        <f>AVERAGE(BS19:BT19)</f>
        <v>36535</v>
      </c>
    </row>
    <row r="20" spans="1:91" ht="15.75" thickBot="1" x14ac:dyDescent="0.3">
      <c r="A20" s="366" t="s">
        <v>76</v>
      </c>
      <c r="B20" s="374">
        <f>B17-(3617.167+(AVERAGE(B18:G18)))</f>
        <v>13967.333000000001</v>
      </c>
      <c r="C20" s="368">
        <f>C17-(3617.167+(AVERAGE(B18:G18)))</f>
        <v>5472.3330000000005</v>
      </c>
      <c r="D20" s="368">
        <f>D17-(3617.167+(AVERAGE(B18:G18)))</f>
        <v>6105.3330000000005</v>
      </c>
      <c r="E20" s="368">
        <f>E17-(3617.167+(AVERAGE(B18:G18)))</f>
        <v>4787.3330000000005</v>
      </c>
      <c r="F20" s="368">
        <f>F17-(3617.167+(AVERAGE(B18:G18)))</f>
        <v>6088.3330000000005</v>
      </c>
      <c r="G20" s="375">
        <f>G17-(3617.167+(AVERAGE(B18:G18)))</f>
        <v>4602.3330000000005</v>
      </c>
      <c r="H20" s="371">
        <f>AVERAGE(B20:G20)</f>
        <v>6837.1663333333336</v>
      </c>
      <c r="I20" s="374">
        <f>I17-(3617.167+(AVERAGE(I18:N18)))</f>
        <v>8997.4996666666666</v>
      </c>
      <c r="J20" s="368">
        <f>J17-(3617.167+(AVERAGE(I18:N18)))</f>
        <v>5838.4996666666666</v>
      </c>
      <c r="K20" s="368">
        <f>K17-(3617.167+(AVERAGE(I18:N18)))</f>
        <v>7302.4996666666666</v>
      </c>
      <c r="L20" s="368">
        <f>L17-(3617.167+(AVERAGE(I18:N18)))</f>
        <v>3478.4996666666666</v>
      </c>
      <c r="M20" s="368">
        <f>M17-(3617.167+(AVERAGE(I18:N18)))</f>
        <v>3598.4996666666666</v>
      </c>
      <c r="N20" s="375">
        <f>N17-(3617.167+(AVERAGE(I18:N18)))</f>
        <v>2559.4996666666666</v>
      </c>
      <c r="O20" s="371">
        <f>AVERAGE(I20:N20)</f>
        <v>5295.8329999999996</v>
      </c>
      <c r="P20" s="374">
        <f>P17-(3617.167+(AVERAGE(P18:U18)))</f>
        <v>14722.833000000001</v>
      </c>
      <c r="Q20" s="368">
        <f>Q17-(3617.167+(AVERAGE(P18:U18)))</f>
        <v>14371.833000000001</v>
      </c>
      <c r="R20" s="368">
        <f>R17-(3617.167+(AVERAGE(P18:U18)))</f>
        <v>20062.832999999999</v>
      </c>
      <c r="S20" s="368">
        <f>S17-(3617.167+(AVERAGE(P18:U18)))</f>
        <v>4411.8330000000005</v>
      </c>
      <c r="T20" s="368">
        <f>T17-(3617.167+(AVERAGE(P18:U18)))</f>
        <v>13144.833000000001</v>
      </c>
      <c r="U20" s="375">
        <f>U17-(3617.167+(AVERAGE(P18:U18)))</f>
        <v>5670.8330000000005</v>
      </c>
      <c r="V20" s="371">
        <f>AVERAGE(P20:U20)</f>
        <v>12064.166333333333</v>
      </c>
      <c r="W20" s="264"/>
      <c r="X20" s="277" t="s">
        <v>76</v>
      </c>
      <c r="Y20" s="278">
        <f>Y17-(3617.167+(AVERAGE(Y18:AD18)))</f>
        <v>3612.9996666666666</v>
      </c>
      <c r="Z20" s="279">
        <f>Z17-(3617.167+(AVERAGE(Y18:AD18)))</f>
        <v>3855.9996666666666</v>
      </c>
      <c r="AA20" s="279">
        <f>AA17-(3617.167+(AVERAGE(Y18:AD18)))</f>
        <v>4484.9996666666666</v>
      </c>
      <c r="AB20" s="279">
        <f>AB17-(3617.167+(AVERAGE(Y18:AD18)))</f>
        <v>5275.9996666666666</v>
      </c>
      <c r="AC20" s="279">
        <f>AC17-(3617.167+(AVERAGE(Y18:AD18)))</f>
        <v>5439.9996666666666</v>
      </c>
      <c r="AD20" s="280">
        <f>AD17-(3617.167+(AVERAGE(Y18:AD18)))</f>
        <v>2015.9996666666666</v>
      </c>
      <c r="AE20" s="283">
        <f>AVERAGE(Y20:AD20)</f>
        <v>4114.3329999999996</v>
      </c>
      <c r="AF20" s="278">
        <f>AF17-(3617.167+(AVERAGE(AF18:AK18)))</f>
        <v>5448.9996666666666</v>
      </c>
      <c r="AG20" s="279">
        <f>AG17-(3617.167+(AVERAGE(AF18:AK18)))</f>
        <v>4896.9996666666666</v>
      </c>
      <c r="AH20" s="279">
        <f>AH17-(3617.167+(AVERAGE(AF18:AK18)))</f>
        <v>6069.9996666666666</v>
      </c>
      <c r="AI20" s="279">
        <f>AI17-(3617.167+(AVERAGE(AF18:AK18)))</f>
        <v>4398.9996666666666</v>
      </c>
      <c r="AJ20" s="279">
        <f>AJ17-(3617.167+(AVERAGE(AF18:AK18)))</f>
        <v>5139.9996666666666</v>
      </c>
      <c r="AK20" s="280">
        <f>AK17-(3617.167+(AVERAGE(AF18:AK18)))</f>
        <v>5404.9996666666666</v>
      </c>
      <c r="AL20" s="283">
        <f>AVERAGE(AF20:AK20)</f>
        <v>5226.6663333333336</v>
      </c>
      <c r="AM20" s="278">
        <f>AM17-(3617.167+(AVERAGE(AM18:AR18)))</f>
        <v>2638.1663333333336</v>
      </c>
      <c r="AN20" s="279">
        <f>AN17-(3617.167+(AVERAGE(AM18:AR18)))</f>
        <v>2427.1663333333336</v>
      </c>
      <c r="AO20" s="279">
        <f>AO17-(3617.167+(AVERAGE(AM18:AR18)))</f>
        <v>3858.1663333333336</v>
      </c>
      <c r="AP20" s="279">
        <f>AP17-(3617.167+(AVERAGE(AM18:AR18)))</f>
        <v>4657.1663333333336</v>
      </c>
      <c r="AQ20" s="279">
        <f>AQ17-(3617.167+(AVERAGE(AM18:AR18)))</f>
        <v>2879.1663333333336</v>
      </c>
      <c r="AR20" s="280">
        <f>AR17-(3617.167+(AVERAGE(AM18:AR18)))</f>
        <v>2049.1663333333336</v>
      </c>
      <c r="AS20" s="283">
        <f>AVERAGE(AM20:AR20)</f>
        <v>3084.8330000000005</v>
      </c>
      <c r="AU20" s="226" t="s">
        <v>76</v>
      </c>
      <c r="AV20" s="242">
        <f>AV17-(36353+(AVERAGE(AV18:BA18)))</f>
        <v>12199.833333333336</v>
      </c>
      <c r="AW20" s="228">
        <f>AW17-(36353+(AVERAGE(AV18:BA18)))</f>
        <v>35257.833333333336</v>
      </c>
      <c r="AX20" s="228">
        <f>AX17-(36353+(AVERAGE(AV18:BA18)))</f>
        <v>34764.833333333336</v>
      </c>
      <c r="AY20" s="228">
        <f>AY17-(36353+(AVERAGE(AV18:BA18)))</f>
        <v>37267.833333333336</v>
      </c>
      <c r="AZ20" s="228">
        <f>AZ17-(36353+(AVERAGE(AV18:BA18)))</f>
        <v>34862.833333333336</v>
      </c>
      <c r="BA20" s="243">
        <f>BA17-(36353+(AVERAGE(AV18:BA18)))</f>
        <v>27511.833333333336</v>
      </c>
      <c r="BB20" s="231">
        <f>AVERAGE(AV20:BA20)</f>
        <v>30310.833333333339</v>
      </c>
      <c r="BC20" s="242">
        <f>BC17-(36353+(AVERAGE(BC18:BH18)))</f>
        <v>22159.333333333336</v>
      </c>
      <c r="BD20" s="228">
        <f>BD17-(36353+(AVERAGE(BC18:BH18)))</f>
        <v>49066.333333333336</v>
      </c>
      <c r="BE20" s="228">
        <f>BE17-(36353+(AVERAGE(BC18:BH18)))</f>
        <v>53340.333333333336</v>
      </c>
      <c r="BF20" s="228">
        <f>BF17-(36353+(AVERAGE(BC18:BH18)))</f>
        <v>49924.333333333336</v>
      </c>
      <c r="BG20" s="228">
        <f>BG17-(36353+(AVERAGE(BC18:BH18)))</f>
        <v>55164.333333333336</v>
      </c>
      <c r="BH20" s="243">
        <f>BH17-(36353+(AVERAGE(BC18:BH18)))</f>
        <v>50835.333333333336</v>
      </c>
      <c r="BI20" s="231">
        <f>AVERAGE(BC20:BH20)</f>
        <v>46748.333333333336</v>
      </c>
      <c r="BJ20" s="242">
        <f>BJ17-(36353+(AVERAGE(BJ18:BO18)))</f>
        <v>32284.166666666664</v>
      </c>
      <c r="BK20" s="228">
        <f>BK17-(36353+(AVERAGE(BJ18:BO18)))</f>
        <v>48406.166666666664</v>
      </c>
      <c r="BL20" s="228">
        <f>BL17-(36353+(AVERAGE(BJ18:BO18)))</f>
        <v>50367.166666666664</v>
      </c>
      <c r="BM20" s="228">
        <f>BM17-(36353+(AVERAGE(BJ18:BO18)))</f>
        <v>-36406.833333333336</v>
      </c>
      <c r="BN20" s="228">
        <f>BN17-(36353+(AVERAGE(BJ18:BO18)))</f>
        <v>45727.166666666664</v>
      </c>
      <c r="BO20" s="243">
        <f>BO17-(36353+(AVERAGE(BJ18:BO18)))</f>
        <v>39994.166666666664</v>
      </c>
      <c r="BP20" s="231">
        <f>AVERAGE(BJ20:BO20)</f>
        <v>30061.999999999996</v>
      </c>
      <c r="BQ20" s="264"/>
      <c r="BR20" s="232" t="s">
        <v>76</v>
      </c>
      <c r="BS20" s="244">
        <f>BS17-(36353+(AVERAGE(BS18:BX18)))</f>
        <v>25148.833333333336</v>
      </c>
      <c r="BT20" s="234">
        <f>BT17-(36353+(AVERAGE(BS18:BX18)))</f>
        <v>21220.833333333336</v>
      </c>
      <c r="BU20" s="234">
        <f>BU17-(36353+(AVERAGE(BS18:BX18)))</f>
        <v>24891.833333333336</v>
      </c>
      <c r="BV20" s="234">
        <f>BV17-(36353+(AVERAGE(BS18:BX18)))</f>
        <v>18345.833333333336</v>
      </c>
      <c r="BW20" s="234">
        <f>BW17-(36353+(AVERAGE(BS18:BX18)))</f>
        <v>9138.8333333333358</v>
      </c>
      <c r="BX20" s="245">
        <f>BX17-(36353+(AVERAGE(BS18:BX18)))</f>
        <v>6150.8333333333358</v>
      </c>
      <c r="BY20" s="237">
        <f>AVERAGE(BS20:BX20)</f>
        <v>17482.833333333339</v>
      </c>
      <c r="BZ20" s="244">
        <f>BZ17-(36353+(AVERAGE(BZ18:CE18)))</f>
        <v>52348.666666666664</v>
      </c>
      <c r="CA20" s="234">
        <f>CA17-(36353+(AVERAGE(BZ18:CE18)))</f>
        <v>47451.666666666664</v>
      </c>
      <c r="CB20" s="234">
        <f>CB17-(36353+(AVERAGE(BZ18:CE18)))</f>
        <v>49953.666666666664</v>
      </c>
      <c r="CC20" s="234">
        <f>CC17-(36353+(AVERAGE(BZ18:CE18)))</f>
        <v>35872.666666666664</v>
      </c>
      <c r="CD20" s="234">
        <f>CD17-(36353+(AVERAGE(BZ18:CE18)))</f>
        <v>18792.666666666664</v>
      </c>
      <c r="CE20" s="245">
        <f>CE17-(36353+(AVERAGE(BZ18:CE18)))</f>
        <v>15291.666666666664</v>
      </c>
      <c r="CF20" s="237">
        <f>AVERAGE(BZ20:CE20)</f>
        <v>36618.499999999993</v>
      </c>
      <c r="CG20" s="244">
        <f>CG17-(36353+(AVERAGE(CG18:CL18)))</f>
        <v>10027.5</v>
      </c>
      <c r="CH20" s="234">
        <f>CH17-(36353+(AVERAGE(CG18:CL18)))</f>
        <v>6298.5</v>
      </c>
      <c r="CI20" s="234">
        <f>CI17-(36353+(AVERAGE(CG18:CL18)))</f>
        <v>8936.5</v>
      </c>
      <c r="CJ20" s="234">
        <f>CJ17-(36353+(AVERAGE(CG18:CL18)))</f>
        <v>5924.5</v>
      </c>
      <c r="CK20" s="234">
        <f>CK17-(36353+(AVERAGE(CG18:CL18)))</f>
        <v>7208.5</v>
      </c>
      <c r="CL20" s="245">
        <f>CL17-(36353+(AVERAGE(CG18:CL18)))</f>
        <v>5522.5</v>
      </c>
      <c r="CM20" s="237">
        <f>AVERAGE(CG20:CL20)</f>
        <v>7319.666666666667</v>
      </c>
    </row>
    <row r="21" spans="1:91" ht="15.75" thickBot="1" x14ac:dyDescent="0.3">
      <c r="H21" s="291"/>
      <c r="I21" s="291"/>
      <c r="O21" s="291"/>
      <c r="P21" s="291"/>
      <c r="V21" s="291"/>
      <c r="AE21" s="291"/>
      <c r="AF21" s="291"/>
      <c r="AL21" s="291"/>
      <c r="AM21" s="291"/>
      <c r="AS21" s="291"/>
      <c r="BB21" s="291"/>
      <c r="BC21" s="291"/>
      <c r="BI21" s="291"/>
      <c r="BJ21" s="291"/>
      <c r="BP21" s="291"/>
      <c r="BY21" s="291"/>
      <c r="BZ21" s="291"/>
      <c r="CF21" s="291"/>
      <c r="CG21" s="291"/>
      <c r="CM21" s="291"/>
    </row>
    <row r="22" spans="1:91" x14ac:dyDescent="0.25">
      <c r="A22" s="638" t="s">
        <v>95</v>
      </c>
      <c r="B22" s="640" t="s">
        <v>69</v>
      </c>
      <c r="C22" s="641"/>
      <c r="D22" s="641"/>
      <c r="E22" s="641"/>
      <c r="F22" s="641"/>
      <c r="G22" s="642"/>
      <c r="H22" s="643"/>
      <c r="I22" s="640" t="s">
        <v>70</v>
      </c>
      <c r="J22" s="641"/>
      <c r="K22" s="641"/>
      <c r="L22" s="641"/>
      <c r="M22" s="641"/>
      <c r="N22" s="642"/>
      <c r="O22" s="643"/>
      <c r="P22" s="640" t="s">
        <v>71</v>
      </c>
      <c r="Q22" s="641"/>
      <c r="R22" s="641"/>
      <c r="S22" s="641"/>
      <c r="T22" s="641"/>
      <c r="U22" s="642"/>
      <c r="V22" s="643"/>
      <c r="X22" s="645" t="s">
        <v>96</v>
      </c>
      <c r="Y22" s="616" t="s">
        <v>69</v>
      </c>
      <c r="Z22" s="617"/>
      <c r="AA22" s="617"/>
      <c r="AB22" s="617"/>
      <c r="AC22" s="617"/>
      <c r="AD22" s="635"/>
      <c r="AE22" s="636"/>
      <c r="AF22" s="616" t="s">
        <v>70</v>
      </c>
      <c r="AG22" s="617"/>
      <c r="AH22" s="617"/>
      <c r="AI22" s="617"/>
      <c r="AJ22" s="617"/>
      <c r="AK22" s="635"/>
      <c r="AL22" s="636"/>
      <c r="AM22" s="616" t="s">
        <v>71</v>
      </c>
      <c r="AN22" s="617"/>
      <c r="AO22" s="617"/>
      <c r="AP22" s="617"/>
      <c r="AQ22" s="617"/>
      <c r="AR22" s="635"/>
      <c r="AS22" s="636"/>
      <c r="AU22" s="650" t="s">
        <v>81</v>
      </c>
      <c r="AV22" s="607" t="s">
        <v>69</v>
      </c>
      <c r="AW22" s="608"/>
      <c r="AX22" s="608"/>
      <c r="AY22" s="608"/>
      <c r="AZ22" s="608"/>
      <c r="BA22" s="655"/>
      <c r="BB22" s="653" t="s">
        <v>52</v>
      </c>
      <c r="BC22" s="607" t="s">
        <v>70</v>
      </c>
      <c r="BD22" s="608"/>
      <c r="BE22" s="608"/>
      <c r="BF22" s="608"/>
      <c r="BG22" s="608"/>
      <c r="BH22" s="655"/>
      <c r="BI22" s="653" t="s">
        <v>52</v>
      </c>
      <c r="BJ22" s="607" t="s">
        <v>71</v>
      </c>
      <c r="BK22" s="608"/>
      <c r="BL22" s="608"/>
      <c r="BM22" s="608"/>
      <c r="BN22" s="608"/>
      <c r="BO22" s="655"/>
      <c r="BP22" s="653" t="s">
        <v>52</v>
      </c>
      <c r="BR22" s="511" t="s">
        <v>82</v>
      </c>
      <c r="BS22" s="623" t="s">
        <v>69</v>
      </c>
      <c r="BT22" s="624"/>
      <c r="BU22" s="624"/>
      <c r="BV22" s="624"/>
      <c r="BW22" s="624"/>
      <c r="BX22" s="658"/>
      <c r="BY22" s="656" t="s">
        <v>52</v>
      </c>
      <c r="BZ22" s="623" t="s">
        <v>70</v>
      </c>
      <c r="CA22" s="624"/>
      <c r="CB22" s="624"/>
      <c r="CC22" s="624"/>
      <c r="CD22" s="624"/>
      <c r="CE22" s="658"/>
      <c r="CF22" s="656" t="s">
        <v>52</v>
      </c>
      <c r="CG22" s="623" t="s">
        <v>71</v>
      </c>
      <c r="CH22" s="624"/>
      <c r="CI22" s="624"/>
      <c r="CJ22" s="624"/>
      <c r="CK22" s="624"/>
      <c r="CL22" s="658"/>
      <c r="CM22" s="656" t="s">
        <v>52</v>
      </c>
    </row>
    <row r="23" spans="1:91" ht="15.75" thickBot="1" x14ac:dyDescent="0.3">
      <c r="A23" s="639"/>
      <c r="B23" s="363">
        <v>1</v>
      </c>
      <c r="C23" s="344">
        <v>2</v>
      </c>
      <c r="D23" s="344">
        <v>3</v>
      </c>
      <c r="E23" s="344">
        <v>4</v>
      </c>
      <c r="F23" s="344">
        <v>5</v>
      </c>
      <c r="G23" s="345">
        <v>6</v>
      </c>
      <c r="H23" s="644"/>
      <c r="I23" s="343">
        <v>1</v>
      </c>
      <c r="J23" s="344">
        <v>2</v>
      </c>
      <c r="K23" s="344">
        <v>3</v>
      </c>
      <c r="L23" s="344">
        <v>4</v>
      </c>
      <c r="M23" s="344">
        <v>5</v>
      </c>
      <c r="N23" s="345">
        <v>6</v>
      </c>
      <c r="O23" s="644"/>
      <c r="P23" s="343">
        <v>1</v>
      </c>
      <c r="Q23" s="344">
        <v>2</v>
      </c>
      <c r="R23" s="344">
        <v>3</v>
      </c>
      <c r="S23" s="344">
        <v>4</v>
      </c>
      <c r="T23" s="344">
        <v>5</v>
      </c>
      <c r="U23" s="346">
        <v>6</v>
      </c>
      <c r="V23" s="644"/>
      <c r="X23" s="646"/>
      <c r="Y23" s="158">
        <v>1</v>
      </c>
      <c r="Z23" s="159">
        <v>2</v>
      </c>
      <c r="AA23" s="159">
        <v>3</v>
      </c>
      <c r="AB23" s="159">
        <v>4</v>
      </c>
      <c r="AC23" s="159">
        <v>5</v>
      </c>
      <c r="AD23" s="266">
        <v>6</v>
      </c>
      <c r="AE23" s="637"/>
      <c r="AF23" s="160">
        <v>1</v>
      </c>
      <c r="AG23" s="159">
        <v>2</v>
      </c>
      <c r="AH23" s="159">
        <v>3</v>
      </c>
      <c r="AI23" s="159">
        <v>4</v>
      </c>
      <c r="AJ23" s="159">
        <v>5</v>
      </c>
      <c r="AK23" s="266">
        <v>6</v>
      </c>
      <c r="AL23" s="637"/>
      <c r="AM23" s="160">
        <v>1</v>
      </c>
      <c r="AN23" s="159">
        <v>2</v>
      </c>
      <c r="AO23" s="159">
        <v>3</v>
      </c>
      <c r="AP23" s="159">
        <v>4</v>
      </c>
      <c r="AQ23" s="159">
        <v>5</v>
      </c>
      <c r="AR23" s="267">
        <v>6</v>
      </c>
      <c r="AS23" s="637"/>
      <c r="AU23" s="651"/>
      <c r="AV23" s="88">
        <v>1</v>
      </c>
      <c r="AW23" s="89">
        <v>2</v>
      </c>
      <c r="AX23" s="89">
        <v>3</v>
      </c>
      <c r="AY23" s="89">
        <v>4</v>
      </c>
      <c r="AZ23" s="89">
        <v>5</v>
      </c>
      <c r="BA23" s="97">
        <v>6</v>
      </c>
      <c r="BB23" s="654"/>
      <c r="BC23" s="91">
        <v>1</v>
      </c>
      <c r="BD23" s="89">
        <v>2</v>
      </c>
      <c r="BE23" s="89">
        <v>3</v>
      </c>
      <c r="BF23" s="89">
        <v>4</v>
      </c>
      <c r="BG23" s="89">
        <v>5</v>
      </c>
      <c r="BH23" s="97">
        <v>6</v>
      </c>
      <c r="BI23" s="654"/>
      <c r="BJ23" s="91">
        <v>1</v>
      </c>
      <c r="BK23" s="89">
        <v>2</v>
      </c>
      <c r="BL23" s="89">
        <v>3</v>
      </c>
      <c r="BM23" s="89">
        <v>4</v>
      </c>
      <c r="BN23" s="89">
        <v>5</v>
      </c>
      <c r="BO23" s="200">
        <v>6</v>
      </c>
      <c r="BP23" s="654"/>
      <c r="BR23" s="512"/>
      <c r="BS23" s="115">
        <v>1</v>
      </c>
      <c r="BT23" s="116">
        <v>2</v>
      </c>
      <c r="BU23" s="116">
        <v>3</v>
      </c>
      <c r="BV23" s="116">
        <v>4</v>
      </c>
      <c r="BW23" s="116">
        <v>5</v>
      </c>
      <c r="BX23" s="117">
        <v>6</v>
      </c>
      <c r="BY23" s="657"/>
      <c r="BZ23" s="118">
        <v>1</v>
      </c>
      <c r="CA23" s="116">
        <v>2</v>
      </c>
      <c r="CB23" s="116">
        <v>3</v>
      </c>
      <c r="CC23" s="116">
        <v>4</v>
      </c>
      <c r="CD23" s="116">
        <v>5</v>
      </c>
      <c r="CE23" s="117">
        <v>6</v>
      </c>
      <c r="CF23" s="657"/>
      <c r="CG23" s="118">
        <v>1</v>
      </c>
      <c r="CH23" s="116">
        <v>2</v>
      </c>
      <c r="CI23" s="116">
        <v>3</v>
      </c>
      <c r="CJ23" s="116">
        <v>4</v>
      </c>
      <c r="CK23" s="116">
        <v>5</v>
      </c>
      <c r="CL23" s="201">
        <v>6</v>
      </c>
      <c r="CM23" s="657"/>
    </row>
    <row r="24" spans="1:91" x14ac:dyDescent="0.25">
      <c r="A24" s="351" t="s">
        <v>73</v>
      </c>
      <c r="B24" s="348">
        <v>7175</v>
      </c>
      <c r="C24" s="349">
        <v>10704</v>
      </c>
      <c r="D24" s="349">
        <v>12594</v>
      </c>
      <c r="E24" s="349">
        <v>9086</v>
      </c>
      <c r="F24" s="349">
        <v>9022</v>
      </c>
      <c r="G24" s="350">
        <v>10557</v>
      </c>
      <c r="H24" s="351">
        <f>AVERAGE(B24:G24)</f>
        <v>9856.3333333333339</v>
      </c>
      <c r="I24" s="352">
        <v>10060</v>
      </c>
      <c r="J24" s="349">
        <v>9840</v>
      </c>
      <c r="K24" s="349">
        <v>10529</v>
      </c>
      <c r="L24" s="349">
        <v>6706</v>
      </c>
      <c r="M24" s="349">
        <v>7182</v>
      </c>
      <c r="N24" s="350">
        <v>10604</v>
      </c>
      <c r="O24" s="351">
        <f>AVERAGE(I24:N24)</f>
        <v>9153.5</v>
      </c>
      <c r="P24" s="352">
        <v>9260</v>
      </c>
      <c r="Q24" s="349">
        <v>13270</v>
      </c>
      <c r="R24" s="349">
        <v>20886</v>
      </c>
      <c r="S24" s="349">
        <v>8902</v>
      </c>
      <c r="T24" s="349">
        <v>12348</v>
      </c>
      <c r="U24" s="353">
        <v>9710</v>
      </c>
      <c r="V24" s="351">
        <f>AVERAGE(P24:U24)</f>
        <v>12396</v>
      </c>
      <c r="X24" s="161" t="s">
        <v>73</v>
      </c>
      <c r="Y24" s="150">
        <v>8902</v>
      </c>
      <c r="Z24" s="151">
        <v>8094</v>
      </c>
      <c r="AA24" s="151">
        <v>8206</v>
      </c>
      <c r="AB24" s="151">
        <v>9758</v>
      </c>
      <c r="AC24" s="151">
        <v>6865</v>
      </c>
      <c r="AD24" s="270">
        <v>6123</v>
      </c>
      <c r="AE24" s="161">
        <f>AVERAGE(Y24:AD24)</f>
        <v>7991.333333333333</v>
      </c>
      <c r="AF24" s="152">
        <v>8198</v>
      </c>
      <c r="AG24" s="151">
        <v>9033</v>
      </c>
      <c r="AH24" s="151">
        <v>10115</v>
      </c>
      <c r="AI24" s="151">
        <v>9554</v>
      </c>
      <c r="AJ24" s="151">
        <v>8128</v>
      </c>
      <c r="AK24" s="270">
        <v>5690</v>
      </c>
      <c r="AL24" s="161">
        <f>AVERAGE(AF24:AK24)</f>
        <v>8453</v>
      </c>
      <c r="AM24" s="152">
        <v>6329</v>
      </c>
      <c r="AN24" s="151">
        <v>4851</v>
      </c>
      <c r="AO24" s="151">
        <v>5961</v>
      </c>
      <c r="AP24" s="151">
        <v>6038</v>
      </c>
      <c r="AQ24" s="151">
        <v>5858</v>
      </c>
      <c r="AR24" s="185">
        <v>6423</v>
      </c>
      <c r="AS24" s="161">
        <f>AVERAGE(AM24:AR24)</f>
        <v>5910</v>
      </c>
      <c r="AU24" s="29" t="s">
        <v>73</v>
      </c>
      <c r="AV24" s="203">
        <v>50965</v>
      </c>
      <c r="AW24" s="204">
        <v>67092</v>
      </c>
      <c r="AX24" s="204">
        <v>71623</v>
      </c>
      <c r="AY24" s="204">
        <v>71605</v>
      </c>
      <c r="AZ24" s="204">
        <v>67976</v>
      </c>
      <c r="BA24" s="205">
        <v>68605</v>
      </c>
      <c r="BB24" s="29">
        <f>AVERAGE(AV24:BA24)</f>
        <v>66311</v>
      </c>
      <c r="BC24" s="206">
        <v>64743</v>
      </c>
      <c r="BD24" s="204">
        <v>90016</v>
      </c>
      <c r="BE24" s="204">
        <v>94296</v>
      </c>
      <c r="BF24" s="204">
        <v>90187</v>
      </c>
      <c r="BG24" s="204">
        <v>88001</v>
      </c>
      <c r="BH24" s="205">
        <v>83322</v>
      </c>
      <c r="BI24" s="29">
        <f>AVERAGE(BC24:BH24)</f>
        <v>85094.166666666672</v>
      </c>
      <c r="BJ24" s="206">
        <v>80363</v>
      </c>
      <c r="BK24" s="204">
        <v>80499</v>
      </c>
      <c r="BL24" s="204">
        <v>79889</v>
      </c>
      <c r="BM24" s="204">
        <v>73907</v>
      </c>
      <c r="BN24" s="204">
        <v>77044</v>
      </c>
      <c r="BO24" s="207">
        <v>71162</v>
      </c>
      <c r="BP24" s="29">
        <f>AVERAGE(BJ24:BO24)</f>
        <v>77144</v>
      </c>
      <c r="BR24" s="51" t="s">
        <v>73</v>
      </c>
      <c r="BS24" s="107">
        <v>63453</v>
      </c>
      <c r="BT24" s="108">
        <v>63246</v>
      </c>
      <c r="BU24" s="108">
        <v>64520</v>
      </c>
      <c r="BV24" s="108">
        <v>62414</v>
      </c>
      <c r="BW24" s="108">
        <v>57148</v>
      </c>
      <c r="BX24" s="109">
        <v>43917</v>
      </c>
      <c r="BY24" s="51">
        <f>AVERAGE(BS24:BX24)</f>
        <v>59116.333333333336</v>
      </c>
      <c r="BZ24" s="110">
        <v>83272</v>
      </c>
      <c r="CA24" s="108">
        <v>82641</v>
      </c>
      <c r="CB24" s="108">
        <v>79072</v>
      </c>
      <c r="CC24" s="108">
        <v>70647</v>
      </c>
      <c r="CD24" s="108">
        <v>58611</v>
      </c>
      <c r="CE24" s="109">
        <v>53017</v>
      </c>
      <c r="CF24" s="51">
        <f>AVERAGE(BZ24:CE24)</f>
        <v>71210</v>
      </c>
      <c r="CG24" s="110">
        <v>43349</v>
      </c>
      <c r="CH24" s="108">
        <v>43766</v>
      </c>
      <c r="CI24" s="108">
        <v>44916</v>
      </c>
      <c r="CJ24" s="108">
        <v>44672</v>
      </c>
      <c r="CK24" s="108">
        <v>44775</v>
      </c>
      <c r="CL24" s="209">
        <v>43685</v>
      </c>
      <c r="CM24" s="51">
        <f>AVERAGE(CG24:CL24)</f>
        <v>44193.833333333336</v>
      </c>
    </row>
    <row r="25" spans="1:91" x14ac:dyDescent="0.25">
      <c r="A25" s="171" t="s">
        <v>74</v>
      </c>
      <c r="B25" s="355">
        <v>78</v>
      </c>
      <c r="C25" s="356">
        <v>78</v>
      </c>
      <c r="D25" s="356">
        <v>74</v>
      </c>
      <c r="E25" s="356">
        <v>80</v>
      </c>
      <c r="F25" s="356">
        <v>74</v>
      </c>
      <c r="G25" s="364">
        <v>67</v>
      </c>
      <c r="H25" s="359">
        <f>AVERAGE(B25:G25)</f>
        <v>75.166666666666671</v>
      </c>
      <c r="I25" s="372">
        <v>85</v>
      </c>
      <c r="J25" s="356">
        <v>67</v>
      </c>
      <c r="K25" s="356">
        <v>82</v>
      </c>
      <c r="L25" s="356">
        <v>73</v>
      </c>
      <c r="M25" s="356">
        <v>86</v>
      </c>
      <c r="N25" s="364">
        <v>70</v>
      </c>
      <c r="O25" s="359">
        <f>AVERAGE(I25:N25)</f>
        <v>77.166666666666671</v>
      </c>
      <c r="P25" s="372">
        <v>70</v>
      </c>
      <c r="Q25" s="356">
        <v>86</v>
      </c>
      <c r="R25" s="356">
        <v>68</v>
      </c>
      <c r="S25" s="356">
        <v>77</v>
      </c>
      <c r="T25" s="356">
        <v>75</v>
      </c>
      <c r="U25" s="373">
        <v>83</v>
      </c>
      <c r="V25" s="359">
        <f>AVERAGE(P25:U25)</f>
        <v>76.5</v>
      </c>
      <c r="X25" s="162" t="s">
        <v>74</v>
      </c>
      <c r="Y25" s="154">
        <v>77</v>
      </c>
      <c r="Z25" s="155">
        <v>79</v>
      </c>
      <c r="AA25" s="155">
        <v>73</v>
      </c>
      <c r="AB25" s="155">
        <v>84</v>
      </c>
      <c r="AC25" s="155">
        <v>76</v>
      </c>
      <c r="AD25" s="285">
        <v>73</v>
      </c>
      <c r="AE25" s="275">
        <f>AVERAGE(Y25:AD25)</f>
        <v>77</v>
      </c>
      <c r="AF25" s="156">
        <v>73</v>
      </c>
      <c r="AG25" s="155">
        <v>75</v>
      </c>
      <c r="AH25" s="155">
        <v>72</v>
      </c>
      <c r="AI25" s="155">
        <v>66</v>
      </c>
      <c r="AJ25" s="155">
        <v>76</v>
      </c>
      <c r="AK25" s="285">
        <v>74</v>
      </c>
      <c r="AL25" s="275">
        <f>AVERAGE(AF25:AK25)</f>
        <v>72.666666666666671</v>
      </c>
      <c r="AM25" s="156">
        <v>74</v>
      </c>
      <c r="AN25" s="155">
        <v>84</v>
      </c>
      <c r="AO25" s="155">
        <v>79</v>
      </c>
      <c r="AP25" s="155">
        <v>84</v>
      </c>
      <c r="AQ25" s="155">
        <v>69</v>
      </c>
      <c r="AR25" s="187">
        <v>76</v>
      </c>
      <c r="AS25" s="275">
        <f>AVERAGE(AM25:AR25)</f>
        <v>77.666666666666671</v>
      </c>
      <c r="AU25" s="36" t="s">
        <v>74</v>
      </c>
      <c r="AV25" s="87">
        <v>54</v>
      </c>
      <c r="AW25" s="86">
        <v>38</v>
      </c>
      <c r="AX25" s="86">
        <v>59</v>
      </c>
      <c r="AY25" s="86">
        <v>53</v>
      </c>
      <c r="AZ25" s="86">
        <v>55</v>
      </c>
      <c r="BA25" s="96">
        <v>49</v>
      </c>
      <c r="BB25" s="213">
        <f>AVERAGE(AV25:BA25)</f>
        <v>51.333333333333336</v>
      </c>
      <c r="BC25" s="90">
        <v>55</v>
      </c>
      <c r="BD25" s="86">
        <v>238</v>
      </c>
      <c r="BE25" s="86">
        <v>46</v>
      </c>
      <c r="BF25" s="86">
        <v>45</v>
      </c>
      <c r="BG25" s="86">
        <v>42</v>
      </c>
      <c r="BH25" s="96">
        <v>52</v>
      </c>
      <c r="BI25" s="213">
        <f>AVERAGE(BC25:BH25)</f>
        <v>79.666666666666671</v>
      </c>
      <c r="BJ25" s="90">
        <v>50</v>
      </c>
      <c r="BK25" s="86">
        <v>80</v>
      </c>
      <c r="BL25" s="86">
        <v>44</v>
      </c>
      <c r="BM25" s="86">
        <v>47</v>
      </c>
      <c r="BN25" s="86">
        <v>56</v>
      </c>
      <c r="BO25" s="240">
        <v>67</v>
      </c>
      <c r="BP25" s="213">
        <f>AVERAGE(BJ25:BO25)</f>
        <v>57.333333333333336</v>
      </c>
      <c r="BR25" s="60" t="s">
        <v>74</v>
      </c>
      <c r="BS25" s="112">
        <v>62</v>
      </c>
      <c r="BT25" s="2">
        <v>63</v>
      </c>
      <c r="BU25" s="2">
        <v>54</v>
      </c>
      <c r="BV25" s="2">
        <v>55</v>
      </c>
      <c r="BW25" s="2">
        <v>66</v>
      </c>
      <c r="BX25" s="113">
        <v>72</v>
      </c>
      <c r="BY25" s="219">
        <f>AVERAGE(BS25:BX25)</f>
        <v>62</v>
      </c>
      <c r="BZ25" s="10">
        <v>66</v>
      </c>
      <c r="CA25" s="2">
        <v>69</v>
      </c>
      <c r="CB25" s="2">
        <v>49</v>
      </c>
      <c r="CC25" s="2">
        <v>59</v>
      </c>
      <c r="CD25" s="2">
        <v>55</v>
      </c>
      <c r="CE25" s="113">
        <v>59</v>
      </c>
      <c r="CF25" s="219">
        <f>AVERAGE(BZ25:CE25)</f>
        <v>59.5</v>
      </c>
      <c r="CG25" s="10">
        <v>60</v>
      </c>
      <c r="CH25" s="2">
        <v>71</v>
      </c>
      <c r="CI25" s="2">
        <v>56</v>
      </c>
      <c r="CJ25" s="2">
        <v>53</v>
      </c>
      <c r="CK25" s="2">
        <v>55</v>
      </c>
      <c r="CL25" s="241">
        <v>61</v>
      </c>
      <c r="CM25" s="219">
        <f>AVERAGE(CG25:CL25)</f>
        <v>59.333333333333336</v>
      </c>
    </row>
    <row r="26" spans="1:91" ht="15.75" thickBot="1" x14ac:dyDescent="0.3">
      <c r="A26" s="177" t="s">
        <v>75</v>
      </c>
      <c r="B26" s="363">
        <v>3678</v>
      </c>
      <c r="C26" s="344">
        <v>3609</v>
      </c>
      <c r="D26" s="364">
        <v>3574</v>
      </c>
      <c r="E26" s="327">
        <v>3582</v>
      </c>
      <c r="F26" s="327">
        <v>3626</v>
      </c>
      <c r="G26" s="327">
        <v>3612</v>
      </c>
      <c r="H26" s="171"/>
      <c r="I26" s="327"/>
      <c r="J26" s="327"/>
      <c r="K26" s="327"/>
      <c r="L26" s="327"/>
      <c r="M26" s="327"/>
      <c r="N26" s="327"/>
      <c r="O26" s="171"/>
      <c r="P26" s="327"/>
      <c r="Q26" s="327"/>
      <c r="R26" s="327"/>
      <c r="S26" s="327"/>
      <c r="T26" s="327"/>
      <c r="U26" s="365"/>
      <c r="V26" s="171">
        <f>AVERAGE(B26:G26)</f>
        <v>3613.5</v>
      </c>
      <c r="X26" s="163" t="s">
        <v>75</v>
      </c>
      <c r="Y26" s="158">
        <v>3678</v>
      </c>
      <c r="Z26" s="159">
        <v>3609</v>
      </c>
      <c r="AA26" s="285">
        <v>3574</v>
      </c>
      <c r="AB26" s="286">
        <v>3582</v>
      </c>
      <c r="AC26" s="286">
        <v>3626</v>
      </c>
      <c r="AD26" s="286">
        <v>3612</v>
      </c>
      <c r="AE26" s="162"/>
      <c r="AF26" s="286"/>
      <c r="AG26" s="286"/>
      <c r="AH26" s="286"/>
      <c r="AI26" s="286"/>
      <c r="AJ26" s="286"/>
      <c r="AK26" s="286"/>
      <c r="AL26" s="162"/>
      <c r="AM26" s="286"/>
      <c r="AN26" s="286"/>
      <c r="AO26" s="286"/>
      <c r="AP26" s="286"/>
      <c r="AQ26" s="286"/>
      <c r="AR26" s="287"/>
      <c r="AS26" s="162">
        <f>AVERAGE(Y26:AD26)</f>
        <v>3613.5</v>
      </c>
      <c r="AU26" s="38" t="s">
        <v>75</v>
      </c>
      <c r="AV26" s="88">
        <v>36390</v>
      </c>
      <c r="AW26" s="89">
        <v>37228</v>
      </c>
      <c r="AX26" s="96"/>
      <c r="AY26" s="37"/>
      <c r="AZ26" s="37"/>
      <c r="BA26" s="37"/>
      <c r="BB26" s="36"/>
      <c r="BC26" s="37"/>
      <c r="BD26" s="37"/>
      <c r="BE26" s="37"/>
      <c r="BF26" s="37"/>
      <c r="BG26" s="37"/>
      <c r="BH26" s="37"/>
      <c r="BI26" s="36"/>
      <c r="BJ26" s="37"/>
      <c r="BK26" s="37"/>
      <c r="BL26" s="37"/>
      <c r="BM26" s="37"/>
      <c r="BN26" s="37"/>
      <c r="BO26" s="223"/>
      <c r="BP26" s="36">
        <f>AVERAGE(AV26:AW26)</f>
        <v>36809</v>
      </c>
      <c r="BR26" s="63" t="s">
        <v>75</v>
      </c>
      <c r="BS26" s="115">
        <v>36390</v>
      </c>
      <c r="BT26" s="116">
        <v>37228</v>
      </c>
      <c r="BU26" s="113"/>
      <c r="BV26" s="59"/>
      <c r="BW26" s="59"/>
      <c r="BX26" s="59"/>
      <c r="BY26" s="60"/>
      <c r="BZ26" s="59"/>
      <c r="CA26" s="59"/>
      <c r="CB26" s="59"/>
      <c r="CC26" s="59"/>
      <c r="CD26" s="59"/>
      <c r="CE26" s="59"/>
      <c r="CF26" s="60"/>
      <c r="CG26" s="59"/>
      <c r="CH26" s="59"/>
      <c r="CI26" s="59"/>
      <c r="CJ26" s="59"/>
      <c r="CK26" s="59"/>
      <c r="CL26" s="225"/>
      <c r="CM26" s="60">
        <f>AVERAGE(BS26:BT26)</f>
        <v>36809</v>
      </c>
    </row>
    <row r="27" spans="1:91" ht="15.75" thickBot="1" x14ac:dyDescent="0.3">
      <c r="A27" s="366" t="s">
        <v>76</v>
      </c>
      <c r="B27" s="374">
        <f>B24-(3613.5+(AVERAGE(B25:G25)))</f>
        <v>3486.3333333333335</v>
      </c>
      <c r="C27" s="368">
        <f>C24-(3613.5+(AVERAGE(B25:G25)))</f>
        <v>7015.3333333333339</v>
      </c>
      <c r="D27" s="368">
        <f>D24-(3613.5+(AVERAGE(B25:G25)))</f>
        <v>8905.3333333333339</v>
      </c>
      <c r="E27" s="368">
        <f>E24-(3613.5+(AVERAGE(B25:G25)))</f>
        <v>5397.3333333333339</v>
      </c>
      <c r="F27" s="368">
        <f>F24-(3613.5+(AVERAGE(B25:G25)))</f>
        <v>5333.3333333333339</v>
      </c>
      <c r="G27" s="375">
        <f>G24-(3613.5+(AVERAGE(B25:G25)))</f>
        <v>6868.3333333333339</v>
      </c>
      <c r="H27" s="371">
        <f>AVERAGE(B27:G27)</f>
        <v>6167.6666666666679</v>
      </c>
      <c r="I27" s="374">
        <f>I24-(3613.5+(AVERAGE(I25:N25)))</f>
        <v>6369.3333333333339</v>
      </c>
      <c r="J27" s="368">
        <f>J24-(3613.5+(AVERAGE(I25:N25)))</f>
        <v>6149.3333333333339</v>
      </c>
      <c r="K27" s="368">
        <f>K24-(3613.5+(AVERAGE(I25:N25)))</f>
        <v>6838.3333333333339</v>
      </c>
      <c r="L27" s="368">
        <f>L24-(3613.5+(AVERAGE(I25:N25)))</f>
        <v>3015.3333333333335</v>
      </c>
      <c r="M27" s="368">
        <f>M24-(3613.5+(AVERAGE(I25:N25)))</f>
        <v>3491.3333333333335</v>
      </c>
      <c r="N27" s="375">
        <f>N24-(3613.5+(AVERAGE(I25:N25)))</f>
        <v>6913.3333333333339</v>
      </c>
      <c r="O27" s="371">
        <f>AVERAGE(I27:N27)</f>
        <v>5462.833333333333</v>
      </c>
      <c r="P27" s="374">
        <f>P24-(3613.5+(AVERAGE(P25:U25)))</f>
        <v>5570</v>
      </c>
      <c r="Q27" s="368">
        <f>Q24-(3613.5+(AVERAGE(P25:U25)))</f>
        <v>9580</v>
      </c>
      <c r="R27" s="368">
        <f>R24-(3613.5+(AVERAGE(P25:U25)))</f>
        <v>17196</v>
      </c>
      <c r="S27" s="368">
        <f>S24-(3613.5+(AVERAGE(P25:U25)))</f>
        <v>5212</v>
      </c>
      <c r="T27" s="368">
        <f>T24-(3613.5+(AVERAGE(P25:U25)))</f>
        <v>8658</v>
      </c>
      <c r="U27" s="375">
        <f>U24-(3613.5+(AVERAGE(P25:U25)))</f>
        <v>6020</v>
      </c>
      <c r="V27" s="371">
        <f>AVERAGE(P27:U27)</f>
        <v>8706</v>
      </c>
      <c r="X27" s="277" t="s">
        <v>76</v>
      </c>
      <c r="Y27" s="278">
        <f>Y24-(3613.5+(AVERAGE(Y25:AD25)))</f>
        <v>5211.5</v>
      </c>
      <c r="Z27" s="279">
        <f>Z24-(3613.5+(AVERAGE(Y25:AD25)))</f>
        <v>4403.5</v>
      </c>
      <c r="AA27" s="279">
        <f>AA24-(3613.5+(AVERAGE(Y25:AD25)))</f>
        <v>4515.5</v>
      </c>
      <c r="AB27" s="279">
        <f>AB24-(3613.5+(AVERAGE(Y25:AD25)))</f>
        <v>6067.5</v>
      </c>
      <c r="AC27" s="279">
        <f>AC24-(3613.5+(AVERAGE(Y25:AD25)))</f>
        <v>3174.5</v>
      </c>
      <c r="AD27" s="280">
        <f>AD24-(3613.5+(AVERAGE(Y25:AD25)))</f>
        <v>2432.5</v>
      </c>
      <c r="AE27" s="283">
        <f>AVERAGE(Y27:AD27)</f>
        <v>4300.833333333333</v>
      </c>
      <c r="AF27" s="278">
        <f>AF24-(3613.5+(AVERAGE(AF25:AK25)))</f>
        <v>4511.8333333333339</v>
      </c>
      <c r="AG27" s="279">
        <f>AG24-(3613.5+(AVERAGE(AF25:AK25)))</f>
        <v>5346.8333333333339</v>
      </c>
      <c r="AH27" s="279">
        <f>AH24-(3613.5+(AVERAGE(AF25:AK25)))</f>
        <v>6428.8333333333339</v>
      </c>
      <c r="AI27" s="279">
        <f>AI24-(3613.5+(AVERAGE(AF25:AK25)))</f>
        <v>5867.8333333333339</v>
      </c>
      <c r="AJ27" s="279">
        <f>AJ24-(3613.5+(AVERAGE(AF25:AK25)))</f>
        <v>4441.8333333333339</v>
      </c>
      <c r="AK27" s="280">
        <f>AK24-(3613.5+(AVERAGE(AF25:AK25)))</f>
        <v>2003.8333333333335</v>
      </c>
      <c r="AL27" s="283">
        <f>AVERAGE(AF27:AK27)</f>
        <v>4766.8333333333339</v>
      </c>
      <c r="AM27" s="278">
        <f>AM24-(3613.5+(AVERAGE(AM25:AR25)))</f>
        <v>2637.8333333333335</v>
      </c>
      <c r="AN27" s="279">
        <f>AN24-(3613.5+(AVERAGE(AM25:AR25)))</f>
        <v>1159.8333333333335</v>
      </c>
      <c r="AO27" s="279">
        <f>AO24-(3613.5+(AVERAGE(AM25:AR25)))</f>
        <v>2269.8333333333335</v>
      </c>
      <c r="AP27" s="279">
        <f>AP24-(3613.5+(AVERAGE(AM25:AR25)))</f>
        <v>2346.8333333333335</v>
      </c>
      <c r="AQ27" s="279">
        <f>AQ24-(3613.5+(AVERAGE(AM25:AR25)))</f>
        <v>2166.8333333333335</v>
      </c>
      <c r="AR27" s="280">
        <f>AR24-(3613.5+(AVERAGE(AM25:AR25)))</f>
        <v>2731.8333333333335</v>
      </c>
      <c r="AS27" s="283">
        <f>AVERAGE(AM27:AR27)</f>
        <v>2218.8333333333335</v>
      </c>
      <c r="AU27" s="226" t="s">
        <v>76</v>
      </c>
      <c r="AV27" s="242">
        <f>AV24-(36809+(AVERAGE(AV25:BA25)))</f>
        <v>14104.666666666664</v>
      </c>
      <c r="AW27" s="228">
        <f>AW24-(36809+(AVERAGE(AV25:BA25)))</f>
        <v>30231.666666666664</v>
      </c>
      <c r="AX27" s="228">
        <f>AX24-(36809+(AVERAGE(AV25:BA25)))</f>
        <v>34762.666666666664</v>
      </c>
      <c r="AY27" s="228">
        <f>AY24-(36809+(AVERAGE(AV25:BA25)))</f>
        <v>34744.666666666664</v>
      </c>
      <c r="AZ27" s="228">
        <f>AZ24-(36809+(AVERAGE(AV25:BA25)))</f>
        <v>31115.666666666664</v>
      </c>
      <c r="BA27" s="243">
        <f>BA24-(36809+(AVERAGE(AV25:BA25)))</f>
        <v>31744.666666666664</v>
      </c>
      <c r="BB27" s="231">
        <f>AVERAGE(AV27:BA27)</f>
        <v>29450.666666666661</v>
      </c>
      <c r="BC27" s="242">
        <f>BC24-(36809+(AVERAGE(BC25:BH25)))</f>
        <v>27854.333333333336</v>
      </c>
      <c r="BD27" s="228">
        <f>BD24-(36809+(AVERAGE(BC25:BH25)))</f>
        <v>53127.333333333336</v>
      </c>
      <c r="BE27" s="228">
        <f>BE24-(36809+(AVERAGE(BC25:BH25)))</f>
        <v>57407.333333333336</v>
      </c>
      <c r="BF27" s="228">
        <f>BF24-(36809+(AVERAGE(BC25:BH25)))</f>
        <v>53298.333333333336</v>
      </c>
      <c r="BG27" s="228">
        <f>BG24-(36809+(AVERAGE(BC25:BH25)))</f>
        <v>51112.333333333336</v>
      </c>
      <c r="BH27" s="243">
        <f>BH24-(36809+(AVERAGE(BC25:BH25)))</f>
        <v>46433.333333333336</v>
      </c>
      <c r="BI27" s="231">
        <f>AVERAGE(BC27:BH27)</f>
        <v>48205.5</v>
      </c>
      <c r="BJ27" s="242">
        <f>BJ24-(36809+(AVERAGE(BJ25:BO25)))</f>
        <v>43496.666666666664</v>
      </c>
      <c r="BK27" s="228">
        <f>BK24-(36809+(AVERAGE(BJ25:BO25)))</f>
        <v>43632.666666666664</v>
      </c>
      <c r="BL27" s="228">
        <f>BL24-(36809+(AVERAGE(BJ25:BO25)))</f>
        <v>43022.666666666664</v>
      </c>
      <c r="BM27" s="228">
        <f>BM24-(36809+(AVERAGE(BJ25:BO25)))</f>
        <v>37040.666666666664</v>
      </c>
      <c r="BN27" s="228">
        <f>BN24-(36809+(AVERAGE(BJ25:BO25)))</f>
        <v>40177.666666666664</v>
      </c>
      <c r="BO27" s="243">
        <f>BO24-(36809+(AVERAGE(BJ25:BO25)))</f>
        <v>34295.666666666664</v>
      </c>
      <c r="BP27" s="231">
        <f>AVERAGE(BJ27:BO27)</f>
        <v>40277.666666666664</v>
      </c>
      <c r="BR27" s="232" t="s">
        <v>76</v>
      </c>
      <c r="BS27" s="244">
        <f>BS24-(36809+(AVERAGE(BS25:BX25)))</f>
        <v>26582</v>
      </c>
      <c r="BT27" s="234">
        <f>BT24-(36809+(AVERAGE(BS25:BX25)))</f>
        <v>26375</v>
      </c>
      <c r="BU27" s="234">
        <f>BU24-(36809+(AVERAGE(BS25:BX25)))</f>
        <v>27649</v>
      </c>
      <c r="BV27" s="234">
        <f>BV24-(36809+(AVERAGE(BS25:BX25)))</f>
        <v>25543</v>
      </c>
      <c r="BW27" s="234">
        <f>BW24-(36809+(AVERAGE(BS25:BX25)))</f>
        <v>20277</v>
      </c>
      <c r="BX27" s="245">
        <f>BX24-(36809+(AVERAGE(BS25:BX25)))</f>
        <v>7046</v>
      </c>
      <c r="BY27" s="237">
        <f>AVERAGE(BS27:BX27)</f>
        <v>22245.333333333332</v>
      </c>
      <c r="BZ27" s="244">
        <f>BZ24-(36809+(AVERAGE(BZ25:CE25)))</f>
        <v>46403.5</v>
      </c>
      <c r="CA27" s="234">
        <f>CA24-(36809+(AVERAGE(BZ25:CE25)))</f>
        <v>45772.5</v>
      </c>
      <c r="CB27" s="234">
        <f>CB24-(36809+(AVERAGE(BZ25:CE25)))</f>
        <v>42203.5</v>
      </c>
      <c r="CC27" s="234">
        <f>CC24-(36809+(AVERAGE(BZ25:CE25)))</f>
        <v>33778.5</v>
      </c>
      <c r="CD27" s="234">
        <f>CD24-(36809+(AVERAGE(BZ25:CE25)))</f>
        <v>21742.5</v>
      </c>
      <c r="CE27" s="245">
        <f>CE24-(36809+(AVERAGE(BZ25:CE25)))</f>
        <v>16148.5</v>
      </c>
      <c r="CF27" s="237">
        <f>AVERAGE(BZ27:CE27)</f>
        <v>34341.5</v>
      </c>
      <c r="CG27" s="244">
        <f>CG24-(36809+(AVERAGE(CG25:CL25)))</f>
        <v>6480.6666666666642</v>
      </c>
      <c r="CH27" s="234">
        <f>CH24-(36809+(AVERAGE(CG25:CL25)))</f>
        <v>6897.6666666666642</v>
      </c>
      <c r="CI27" s="234">
        <f>CI24-(36809+(AVERAGE(CG25:CL25)))</f>
        <v>8047.6666666666642</v>
      </c>
      <c r="CJ27" s="234">
        <f>CJ24-(36809+(AVERAGE(CG25:CL25)))</f>
        <v>7803.6666666666642</v>
      </c>
      <c r="CK27" s="234">
        <f>CK24-(36809+(AVERAGE(CG25:CL25)))</f>
        <v>7906.6666666666642</v>
      </c>
      <c r="CL27" s="245">
        <f>CL24-(36809+(AVERAGE(CG25:CL25)))</f>
        <v>6816.6666666666642</v>
      </c>
      <c r="CM27" s="237">
        <f>AVERAGE(CG27:CL27)</f>
        <v>7325.4999999999973</v>
      </c>
    </row>
    <row r="28" spans="1:91" ht="15.75" thickBot="1" x14ac:dyDescent="0.3">
      <c r="H28" s="291"/>
      <c r="I28" s="291"/>
      <c r="O28" s="291"/>
      <c r="P28" s="291"/>
      <c r="V28" s="291"/>
      <c r="AE28" s="291"/>
      <c r="AF28" s="291"/>
      <c r="AL28" s="291"/>
      <c r="AM28" s="291"/>
      <c r="AS28" s="291"/>
      <c r="BB28" s="291"/>
      <c r="BC28" s="291"/>
      <c r="BI28" s="291"/>
      <c r="BJ28" s="291"/>
      <c r="BP28" s="291"/>
      <c r="BY28" s="291"/>
      <c r="BZ28" s="291"/>
      <c r="CF28" s="291"/>
      <c r="CG28" s="291"/>
      <c r="CM28" s="291"/>
    </row>
    <row r="29" spans="1:91" x14ac:dyDescent="0.25">
      <c r="A29" s="638" t="s">
        <v>97</v>
      </c>
      <c r="B29" s="640" t="s">
        <v>69</v>
      </c>
      <c r="C29" s="641"/>
      <c r="D29" s="641"/>
      <c r="E29" s="641"/>
      <c r="F29" s="641"/>
      <c r="G29" s="642"/>
      <c r="H29" s="643"/>
      <c r="I29" s="640" t="s">
        <v>70</v>
      </c>
      <c r="J29" s="641"/>
      <c r="K29" s="641"/>
      <c r="L29" s="641"/>
      <c r="M29" s="641"/>
      <c r="N29" s="642"/>
      <c r="O29" s="643"/>
      <c r="P29" s="640" t="s">
        <v>71</v>
      </c>
      <c r="Q29" s="641"/>
      <c r="R29" s="641"/>
      <c r="S29" s="641"/>
      <c r="T29" s="641"/>
      <c r="U29" s="642"/>
      <c r="V29" s="643"/>
      <c r="X29" s="645" t="s">
        <v>98</v>
      </c>
      <c r="Y29" s="616" t="s">
        <v>69</v>
      </c>
      <c r="Z29" s="617"/>
      <c r="AA29" s="617"/>
      <c r="AB29" s="617"/>
      <c r="AC29" s="617"/>
      <c r="AD29" s="635"/>
      <c r="AE29" s="636"/>
      <c r="AF29" s="616" t="s">
        <v>70</v>
      </c>
      <c r="AG29" s="617"/>
      <c r="AH29" s="617"/>
      <c r="AI29" s="617"/>
      <c r="AJ29" s="617"/>
      <c r="AK29" s="635"/>
      <c r="AL29" s="636"/>
      <c r="AM29" s="616" t="s">
        <v>71</v>
      </c>
      <c r="AN29" s="617"/>
      <c r="AO29" s="617"/>
      <c r="AP29" s="617"/>
      <c r="AQ29" s="617"/>
      <c r="AR29" s="635"/>
      <c r="AS29" s="636"/>
      <c r="AU29" s="650" t="s">
        <v>83</v>
      </c>
      <c r="AV29" s="607" t="s">
        <v>69</v>
      </c>
      <c r="AW29" s="608"/>
      <c r="AX29" s="608"/>
      <c r="AY29" s="608"/>
      <c r="AZ29" s="608"/>
      <c r="BA29" s="655"/>
      <c r="BB29" s="653" t="s">
        <v>52</v>
      </c>
      <c r="BC29" s="607" t="s">
        <v>70</v>
      </c>
      <c r="BD29" s="608"/>
      <c r="BE29" s="608"/>
      <c r="BF29" s="608"/>
      <c r="BG29" s="608"/>
      <c r="BH29" s="655"/>
      <c r="BI29" s="653" t="s">
        <v>52</v>
      </c>
      <c r="BJ29" s="607" t="s">
        <v>71</v>
      </c>
      <c r="BK29" s="608"/>
      <c r="BL29" s="608"/>
      <c r="BM29" s="608"/>
      <c r="BN29" s="608"/>
      <c r="BO29" s="655"/>
      <c r="BP29" s="653" t="s">
        <v>52</v>
      </c>
      <c r="BR29" s="511" t="s">
        <v>84</v>
      </c>
      <c r="BS29" s="623" t="s">
        <v>69</v>
      </c>
      <c r="BT29" s="624"/>
      <c r="BU29" s="624"/>
      <c r="BV29" s="624"/>
      <c r="BW29" s="624"/>
      <c r="BX29" s="658"/>
      <c r="BY29" s="656" t="s">
        <v>52</v>
      </c>
      <c r="BZ29" s="623" t="s">
        <v>70</v>
      </c>
      <c r="CA29" s="624"/>
      <c r="CB29" s="624"/>
      <c r="CC29" s="624"/>
      <c r="CD29" s="624"/>
      <c r="CE29" s="658"/>
      <c r="CF29" s="656" t="s">
        <v>52</v>
      </c>
      <c r="CG29" s="623" t="s">
        <v>71</v>
      </c>
      <c r="CH29" s="624"/>
      <c r="CI29" s="624"/>
      <c r="CJ29" s="624"/>
      <c r="CK29" s="624"/>
      <c r="CL29" s="658"/>
      <c r="CM29" s="656" t="s">
        <v>52</v>
      </c>
    </row>
    <row r="30" spans="1:91" ht="15.75" thickBot="1" x14ac:dyDescent="0.3">
      <c r="A30" s="639"/>
      <c r="B30" s="363">
        <v>1</v>
      </c>
      <c r="C30" s="344">
        <v>2</v>
      </c>
      <c r="D30" s="344">
        <v>3</v>
      </c>
      <c r="E30" s="344">
        <v>4</v>
      </c>
      <c r="F30" s="344">
        <v>5</v>
      </c>
      <c r="G30" s="345">
        <v>6</v>
      </c>
      <c r="H30" s="644"/>
      <c r="I30" s="343">
        <v>1</v>
      </c>
      <c r="J30" s="344">
        <v>2</v>
      </c>
      <c r="K30" s="344">
        <v>3</v>
      </c>
      <c r="L30" s="344">
        <v>4</v>
      </c>
      <c r="M30" s="344">
        <v>5</v>
      </c>
      <c r="N30" s="345">
        <v>6</v>
      </c>
      <c r="O30" s="644"/>
      <c r="P30" s="343">
        <v>1</v>
      </c>
      <c r="Q30" s="344">
        <v>2</v>
      </c>
      <c r="R30" s="344">
        <v>3</v>
      </c>
      <c r="S30" s="344">
        <v>4</v>
      </c>
      <c r="T30" s="344">
        <v>5</v>
      </c>
      <c r="U30" s="346">
        <v>6</v>
      </c>
      <c r="V30" s="644"/>
      <c r="X30" s="646"/>
      <c r="Y30" s="158">
        <v>1</v>
      </c>
      <c r="Z30" s="159">
        <v>2</v>
      </c>
      <c r="AA30" s="159">
        <v>3</v>
      </c>
      <c r="AB30" s="159">
        <v>4</v>
      </c>
      <c r="AC30" s="159">
        <v>5</v>
      </c>
      <c r="AD30" s="266">
        <v>6</v>
      </c>
      <c r="AE30" s="637"/>
      <c r="AF30" s="160">
        <v>1</v>
      </c>
      <c r="AG30" s="159">
        <v>2</v>
      </c>
      <c r="AH30" s="159">
        <v>3</v>
      </c>
      <c r="AI30" s="159">
        <v>4</v>
      </c>
      <c r="AJ30" s="159">
        <v>5</v>
      </c>
      <c r="AK30" s="266">
        <v>6</v>
      </c>
      <c r="AL30" s="637"/>
      <c r="AM30" s="160">
        <v>1</v>
      </c>
      <c r="AN30" s="159">
        <v>2</v>
      </c>
      <c r="AO30" s="159">
        <v>3</v>
      </c>
      <c r="AP30" s="159">
        <v>4</v>
      </c>
      <c r="AQ30" s="159">
        <v>5</v>
      </c>
      <c r="AR30" s="267">
        <v>6</v>
      </c>
      <c r="AS30" s="637"/>
      <c r="AU30" s="651"/>
      <c r="AV30" s="88">
        <v>1</v>
      </c>
      <c r="AW30" s="89">
        <v>2</v>
      </c>
      <c r="AX30" s="89">
        <v>3</v>
      </c>
      <c r="AY30" s="89">
        <v>4</v>
      </c>
      <c r="AZ30" s="89">
        <v>5</v>
      </c>
      <c r="BA30" s="97">
        <v>6</v>
      </c>
      <c r="BB30" s="654"/>
      <c r="BC30" s="91">
        <v>1</v>
      </c>
      <c r="BD30" s="89">
        <v>2</v>
      </c>
      <c r="BE30" s="89">
        <v>3</v>
      </c>
      <c r="BF30" s="89">
        <v>4</v>
      </c>
      <c r="BG30" s="89">
        <v>5</v>
      </c>
      <c r="BH30" s="97">
        <v>6</v>
      </c>
      <c r="BI30" s="654"/>
      <c r="BJ30" s="91">
        <v>1</v>
      </c>
      <c r="BK30" s="89">
        <v>2</v>
      </c>
      <c r="BL30" s="89">
        <v>3</v>
      </c>
      <c r="BM30" s="89">
        <v>4</v>
      </c>
      <c r="BN30" s="89">
        <v>5</v>
      </c>
      <c r="BO30" s="200">
        <v>6</v>
      </c>
      <c r="BP30" s="654"/>
      <c r="BR30" s="512"/>
      <c r="BS30" s="115">
        <v>1</v>
      </c>
      <c r="BT30" s="116">
        <v>2</v>
      </c>
      <c r="BU30" s="116">
        <v>3</v>
      </c>
      <c r="BV30" s="116">
        <v>4</v>
      </c>
      <c r="BW30" s="116">
        <v>5</v>
      </c>
      <c r="BX30" s="117">
        <v>6</v>
      </c>
      <c r="BY30" s="657"/>
      <c r="BZ30" s="118">
        <v>1</v>
      </c>
      <c r="CA30" s="116">
        <v>2</v>
      </c>
      <c r="CB30" s="116">
        <v>3</v>
      </c>
      <c r="CC30" s="116">
        <v>4</v>
      </c>
      <c r="CD30" s="116">
        <v>5</v>
      </c>
      <c r="CE30" s="117">
        <v>6</v>
      </c>
      <c r="CF30" s="657"/>
      <c r="CG30" s="118">
        <v>1</v>
      </c>
      <c r="CH30" s="116">
        <v>2</v>
      </c>
      <c r="CI30" s="116">
        <v>3</v>
      </c>
      <c r="CJ30" s="116">
        <v>4</v>
      </c>
      <c r="CK30" s="116">
        <v>5</v>
      </c>
      <c r="CL30" s="201">
        <v>6</v>
      </c>
      <c r="CM30" s="657"/>
    </row>
    <row r="31" spans="1:91" x14ac:dyDescent="0.25">
      <c r="A31" s="351" t="s">
        <v>73</v>
      </c>
      <c r="B31" s="348">
        <v>20151</v>
      </c>
      <c r="C31" s="349">
        <v>9788</v>
      </c>
      <c r="D31" s="349">
        <v>24861</v>
      </c>
      <c r="E31" s="349">
        <v>9329</v>
      </c>
      <c r="F31" s="349">
        <v>13467</v>
      </c>
      <c r="G31" s="350">
        <v>14182</v>
      </c>
      <c r="H31" s="351">
        <f>AVERAGE(B31:G31)</f>
        <v>15296.333333333334</v>
      </c>
      <c r="I31" s="352">
        <v>8642</v>
      </c>
      <c r="J31" s="349">
        <v>10779</v>
      </c>
      <c r="K31" s="349">
        <v>9268</v>
      </c>
      <c r="L31" s="349">
        <v>5430</v>
      </c>
      <c r="M31" s="349">
        <v>5358</v>
      </c>
      <c r="N31" s="350">
        <v>5361</v>
      </c>
      <c r="O31" s="351">
        <f>AVERAGE(I31:N31)</f>
        <v>7473</v>
      </c>
      <c r="P31" s="352">
        <v>18115</v>
      </c>
      <c r="Q31" s="349">
        <v>10788</v>
      </c>
      <c r="R31" s="349">
        <v>15542</v>
      </c>
      <c r="S31" s="349">
        <v>9685</v>
      </c>
      <c r="T31" s="349">
        <v>8728</v>
      </c>
      <c r="U31" s="353">
        <v>8293</v>
      </c>
      <c r="V31" s="351">
        <f>AVERAGE(P31:U31)</f>
        <v>11858.5</v>
      </c>
      <c r="X31" s="161" t="s">
        <v>73</v>
      </c>
      <c r="Y31" s="150">
        <v>6924</v>
      </c>
      <c r="Z31" s="151">
        <v>5612</v>
      </c>
      <c r="AA31" s="151">
        <v>10035</v>
      </c>
      <c r="AB31" s="151">
        <v>6349</v>
      </c>
      <c r="AC31" s="151">
        <v>6892</v>
      </c>
      <c r="AD31" s="270">
        <v>10431</v>
      </c>
      <c r="AE31" s="161">
        <f>AVERAGE(Y31:AD31)</f>
        <v>7707.166666666667</v>
      </c>
      <c r="AF31" s="152">
        <v>6142</v>
      </c>
      <c r="AG31" s="151">
        <v>5121</v>
      </c>
      <c r="AH31" s="151">
        <v>7177</v>
      </c>
      <c r="AI31" s="151">
        <v>5634</v>
      </c>
      <c r="AJ31" s="151">
        <v>6557</v>
      </c>
      <c r="AK31" s="270">
        <v>9849</v>
      </c>
      <c r="AL31" s="161">
        <f>AVERAGE(AF31:AK31)</f>
        <v>6746.666666666667</v>
      </c>
      <c r="AM31" s="152">
        <v>7662</v>
      </c>
      <c r="AN31" s="151">
        <v>5359</v>
      </c>
      <c r="AO31" s="151">
        <v>6222</v>
      </c>
      <c r="AP31" s="151">
        <v>5900</v>
      </c>
      <c r="AQ31" s="151">
        <v>6508</v>
      </c>
      <c r="AR31" s="185">
        <v>8973</v>
      </c>
      <c r="AS31" s="161">
        <f>AVERAGE(AM31:AR31)</f>
        <v>6770.666666666667</v>
      </c>
      <c r="AU31" s="29" t="s">
        <v>73</v>
      </c>
      <c r="AV31" s="203">
        <v>53296</v>
      </c>
      <c r="AW31" s="204">
        <v>66543</v>
      </c>
      <c r="AX31" s="204">
        <v>69516</v>
      </c>
      <c r="AY31" s="204">
        <v>68794</v>
      </c>
      <c r="AZ31" s="204">
        <v>67739</v>
      </c>
      <c r="BA31" s="205">
        <v>64957</v>
      </c>
      <c r="BB31" s="29">
        <f>AVERAGE(AV31:BA31)</f>
        <v>65140.833333333336</v>
      </c>
      <c r="BC31" s="206">
        <v>66205</v>
      </c>
      <c r="BD31" s="204">
        <v>82197</v>
      </c>
      <c r="BE31" s="204">
        <v>89449</v>
      </c>
      <c r="BF31" s="204">
        <v>85981</v>
      </c>
      <c r="BG31" s="204">
        <v>90059</v>
      </c>
      <c r="BH31" s="205">
        <v>87562</v>
      </c>
      <c r="BI31" s="29">
        <f>AVERAGE(BC31:BH31)</f>
        <v>83575.5</v>
      </c>
      <c r="BJ31" s="206">
        <v>63969</v>
      </c>
      <c r="BK31" s="204">
        <v>71809</v>
      </c>
      <c r="BL31" s="204">
        <v>73906</v>
      </c>
      <c r="BM31" s="204">
        <v>72902</v>
      </c>
      <c r="BN31" s="204">
        <v>75347</v>
      </c>
      <c r="BO31" s="207">
        <v>69992</v>
      </c>
      <c r="BP31" s="29">
        <f>AVERAGE(BJ31:BO31)</f>
        <v>71320.833333333328</v>
      </c>
      <c r="BR31" s="51" t="s">
        <v>73</v>
      </c>
      <c r="BS31" s="107">
        <v>62706</v>
      </c>
      <c r="BT31" s="108">
        <v>63624</v>
      </c>
      <c r="BU31" s="108">
        <v>62387</v>
      </c>
      <c r="BV31" s="108">
        <v>61658</v>
      </c>
      <c r="BW31" s="108">
        <v>53599</v>
      </c>
      <c r="BX31" s="109">
        <v>42790</v>
      </c>
      <c r="BY31" s="51">
        <f>AVERAGE(BS31:BX31)</f>
        <v>57794</v>
      </c>
      <c r="BZ31" s="110">
        <v>87588</v>
      </c>
      <c r="CA31" s="108">
        <v>80836</v>
      </c>
      <c r="CB31" s="108">
        <v>76483</v>
      </c>
      <c r="CC31" s="108">
        <v>65205</v>
      </c>
      <c r="CD31" s="108">
        <v>52963</v>
      </c>
      <c r="CE31" s="109">
        <v>53409</v>
      </c>
      <c r="CF31" s="51">
        <f>AVERAGE(BZ31:CE31)</f>
        <v>69414</v>
      </c>
      <c r="CG31" s="110">
        <v>41723</v>
      </c>
      <c r="CH31" s="108">
        <v>41959</v>
      </c>
      <c r="CI31" s="108">
        <v>40655</v>
      </c>
      <c r="CJ31" s="108">
        <v>41663</v>
      </c>
      <c r="CK31" s="108">
        <v>41983</v>
      </c>
      <c r="CL31" s="209">
        <v>42439</v>
      </c>
      <c r="CM31" s="51">
        <f>AVERAGE(CG31:CL31)</f>
        <v>41737</v>
      </c>
    </row>
    <row r="32" spans="1:91" x14ac:dyDescent="0.25">
      <c r="A32" s="171" t="s">
        <v>74</v>
      </c>
      <c r="B32" s="355">
        <v>79</v>
      </c>
      <c r="C32" s="356">
        <v>87</v>
      </c>
      <c r="D32" s="356">
        <v>71</v>
      </c>
      <c r="E32" s="356">
        <v>75</v>
      </c>
      <c r="F32" s="356">
        <v>74</v>
      </c>
      <c r="G32" s="364">
        <v>77</v>
      </c>
      <c r="H32" s="359">
        <f>AVERAGE(B32:G32)</f>
        <v>77.166666666666671</v>
      </c>
      <c r="I32" s="372">
        <v>79</v>
      </c>
      <c r="J32" s="356">
        <v>78</v>
      </c>
      <c r="K32" s="356">
        <v>94</v>
      </c>
      <c r="L32" s="356">
        <v>61</v>
      </c>
      <c r="M32" s="356">
        <v>79</v>
      </c>
      <c r="N32" s="364">
        <v>74</v>
      </c>
      <c r="O32" s="359">
        <f>AVERAGE(I32:N32)</f>
        <v>77.5</v>
      </c>
      <c r="P32" s="372">
        <v>78</v>
      </c>
      <c r="Q32" s="356">
        <v>76</v>
      </c>
      <c r="R32" s="356">
        <v>73</v>
      </c>
      <c r="S32" s="356">
        <v>76</v>
      </c>
      <c r="T32" s="356">
        <v>71</v>
      </c>
      <c r="U32" s="373">
        <v>66</v>
      </c>
      <c r="V32" s="359">
        <f>AVERAGE(P32:U32)</f>
        <v>73.333333333333329</v>
      </c>
      <c r="X32" s="162" t="s">
        <v>74</v>
      </c>
      <c r="Y32" s="154">
        <v>72</v>
      </c>
      <c r="Z32" s="155">
        <v>83</v>
      </c>
      <c r="AA32" s="155">
        <v>70</v>
      </c>
      <c r="AB32" s="155">
        <v>72</v>
      </c>
      <c r="AC32" s="155">
        <v>82</v>
      </c>
      <c r="AD32" s="285">
        <v>72</v>
      </c>
      <c r="AE32" s="275">
        <f>AVERAGE(Y32:AD32)</f>
        <v>75.166666666666671</v>
      </c>
      <c r="AF32" s="156">
        <v>79</v>
      </c>
      <c r="AG32" s="155">
        <v>71</v>
      </c>
      <c r="AH32" s="155">
        <v>83</v>
      </c>
      <c r="AI32" s="155">
        <v>73</v>
      </c>
      <c r="AJ32" s="155">
        <v>83</v>
      </c>
      <c r="AK32" s="285">
        <v>84</v>
      </c>
      <c r="AL32" s="275">
        <f>AVERAGE(AF32:AK32)</f>
        <v>78.833333333333329</v>
      </c>
      <c r="AM32" s="156">
        <v>73</v>
      </c>
      <c r="AN32" s="155">
        <v>71</v>
      </c>
      <c r="AO32" s="155">
        <v>77</v>
      </c>
      <c r="AP32" s="155">
        <v>73</v>
      </c>
      <c r="AQ32" s="155">
        <v>87</v>
      </c>
      <c r="AR32" s="187">
        <v>83</v>
      </c>
      <c r="AS32" s="275">
        <f>AVERAGE(AM32:AR32)</f>
        <v>77.333333333333329</v>
      </c>
      <c r="AU32" s="36" t="s">
        <v>74</v>
      </c>
      <c r="AV32" s="87">
        <v>47</v>
      </c>
      <c r="AW32" s="86">
        <v>57</v>
      </c>
      <c r="AX32" s="86">
        <v>53</v>
      </c>
      <c r="AY32" s="86">
        <v>42</v>
      </c>
      <c r="AZ32" s="86">
        <v>54</v>
      </c>
      <c r="BA32" s="96">
        <v>48</v>
      </c>
      <c r="BB32" s="213">
        <f>AVERAGE(AV32:BA32)</f>
        <v>50.166666666666664</v>
      </c>
      <c r="BC32" s="90">
        <v>58</v>
      </c>
      <c r="BD32" s="86">
        <v>61</v>
      </c>
      <c r="BE32" s="86">
        <v>56</v>
      </c>
      <c r="BF32" s="86">
        <v>60</v>
      </c>
      <c r="BG32" s="86">
        <v>46</v>
      </c>
      <c r="BH32" s="96">
        <v>65</v>
      </c>
      <c r="BI32" s="213">
        <f>AVERAGE(BC32:BH32)</f>
        <v>57.666666666666664</v>
      </c>
      <c r="BJ32" s="90">
        <v>52</v>
      </c>
      <c r="BK32" s="86">
        <v>59</v>
      </c>
      <c r="BL32" s="86">
        <v>48</v>
      </c>
      <c r="BM32" s="86">
        <v>57</v>
      </c>
      <c r="BN32" s="86">
        <v>64</v>
      </c>
      <c r="BO32" s="240">
        <v>60</v>
      </c>
      <c r="BP32" s="213">
        <f>AVERAGE(BJ32:BO32)</f>
        <v>56.666666666666664</v>
      </c>
      <c r="BR32" s="60" t="s">
        <v>74</v>
      </c>
      <c r="BS32" s="112">
        <v>66</v>
      </c>
      <c r="BT32" s="2">
        <v>58</v>
      </c>
      <c r="BU32" s="2">
        <v>66</v>
      </c>
      <c r="BV32" s="2">
        <v>62</v>
      </c>
      <c r="BW32" s="2">
        <v>73</v>
      </c>
      <c r="BX32" s="113">
        <v>60</v>
      </c>
      <c r="BY32" s="219">
        <f>AVERAGE(BS32:BX32)</f>
        <v>64.166666666666671</v>
      </c>
      <c r="BZ32" s="10">
        <v>60</v>
      </c>
      <c r="CA32" s="2">
        <v>51</v>
      </c>
      <c r="CB32" s="2">
        <v>55</v>
      </c>
      <c r="CC32" s="2">
        <v>63</v>
      </c>
      <c r="CD32" s="2">
        <v>53</v>
      </c>
      <c r="CE32" s="113">
        <v>60</v>
      </c>
      <c r="CF32" s="219">
        <f>AVERAGE(BZ32:CE32)</f>
        <v>57</v>
      </c>
      <c r="CG32" s="10">
        <v>67</v>
      </c>
      <c r="CH32" s="2">
        <v>59</v>
      </c>
      <c r="CI32" s="2">
        <v>60</v>
      </c>
      <c r="CJ32" s="2">
        <v>52</v>
      </c>
      <c r="CK32" s="2">
        <v>62</v>
      </c>
      <c r="CL32" s="241">
        <v>65</v>
      </c>
      <c r="CM32" s="219">
        <f>AVERAGE(CG32:CL32)</f>
        <v>60.833333333333336</v>
      </c>
    </row>
    <row r="33" spans="1:91" ht="15.75" thickBot="1" x14ac:dyDescent="0.3">
      <c r="A33" s="177" t="s">
        <v>75</v>
      </c>
      <c r="B33" s="363">
        <v>3695</v>
      </c>
      <c r="C33" s="344">
        <v>3651</v>
      </c>
      <c r="D33" s="364">
        <v>3664</v>
      </c>
      <c r="E33" s="327">
        <v>3661</v>
      </c>
      <c r="F33" s="327">
        <v>3621</v>
      </c>
      <c r="G33" s="327">
        <v>3675</v>
      </c>
      <c r="H33" s="171"/>
      <c r="I33" s="327"/>
      <c r="J33" s="327"/>
      <c r="K33" s="327"/>
      <c r="L33" s="327"/>
      <c r="M33" s="327"/>
      <c r="N33" s="327"/>
      <c r="O33" s="171"/>
      <c r="P33" s="327"/>
      <c r="Q33" s="327"/>
      <c r="R33" s="327"/>
      <c r="S33" s="327"/>
      <c r="T33" s="327"/>
      <c r="U33" s="365"/>
      <c r="V33" s="171">
        <f>AVERAGE(B33:G33)</f>
        <v>3661.1666666666665</v>
      </c>
      <c r="X33" s="163" t="s">
        <v>75</v>
      </c>
      <c r="Y33" s="158">
        <v>3695</v>
      </c>
      <c r="Z33" s="159">
        <v>3651</v>
      </c>
      <c r="AA33" s="285">
        <v>3664</v>
      </c>
      <c r="AB33" s="286">
        <v>3661</v>
      </c>
      <c r="AC33" s="286">
        <v>3621</v>
      </c>
      <c r="AD33" s="286">
        <v>3675</v>
      </c>
      <c r="AE33" s="162"/>
      <c r="AF33" s="286"/>
      <c r="AG33" s="286"/>
      <c r="AH33" s="286"/>
      <c r="AI33" s="286"/>
      <c r="AJ33" s="286"/>
      <c r="AK33" s="286"/>
      <c r="AL33" s="162"/>
      <c r="AM33" s="286"/>
      <c r="AN33" s="286"/>
      <c r="AO33" s="286"/>
      <c r="AP33" s="286"/>
      <c r="AQ33" s="286"/>
      <c r="AR33" s="287"/>
      <c r="AS33" s="162">
        <f>AVERAGE(Y33:AD33)</f>
        <v>3661.1666666666665</v>
      </c>
      <c r="AU33" s="38" t="s">
        <v>75</v>
      </c>
      <c r="AV33" s="88">
        <v>36414</v>
      </c>
      <c r="AW33" s="89">
        <v>37075</v>
      </c>
      <c r="AX33" s="96"/>
      <c r="AY33" s="37"/>
      <c r="AZ33" s="37"/>
      <c r="BA33" s="37"/>
      <c r="BB33" s="36"/>
      <c r="BC33" s="37"/>
      <c r="BD33" s="37"/>
      <c r="BE33" s="37"/>
      <c r="BF33" s="37"/>
      <c r="BG33" s="37"/>
      <c r="BH33" s="37"/>
      <c r="BI33" s="36"/>
      <c r="BJ33" s="37"/>
      <c r="BK33" s="37"/>
      <c r="BL33" s="37"/>
      <c r="BM33" s="37"/>
      <c r="BN33" s="37"/>
      <c r="BO33" s="223"/>
      <c r="BP33" s="36">
        <f>AVERAGE(AV33:AW33)</f>
        <v>36744.5</v>
      </c>
      <c r="BR33" s="63" t="s">
        <v>75</v>
      </c>
      <c r="BS33" s="115">
        <v>36414</v>
      </c>
      <c r="BT33" s="116">
        <v>37075</v>
      </c>
      <c r="BU33" s="113"/>
      <c r="BV33" s="59"/>
      <c r="BW33" s="59"/>
      <c r="BX33" s="59"/>
      <c r="BY33" s="60"/>
      <c r="BZ33" s="59"/>
      <c r="CA33" s="59"/>
      <c r="CB33" s="59"/>
      <c r="CC33" s="59"/>
      <c r="CD33" s="59"/>
      <c r="CE33" s="59"/>
      <c r="CF33" s="60"/>
      <c r="CG33" s="59"/>
      <c r="CH33" s="59"/>
      <c r="CI33" s="59"/>
      <c r="CJ33" s="59"/>
      <c r="CK33" s="59"/>
      <c r="CL33" s="225"/>
      <c r="CM33" s="60">
        <f>AVERAGE(BS33:BT33)</f>
        <v>36744.5</v>
      </c>
    </row>
    <row r="34" spans="1:91" ht="15.75" thickBot="1" x14ac:dyDescent="0.3">
      <c r="A34" s="366" t="s">
        <v>76</v>
      </c>
      <c r="B34" s="374">
        <f>B31-(3661.167+(AVERAGE(B32:G32)))</f>
        <v>16412.666333333334</v>
      </c>
      <c r="C34" s="368">
        <f>C31-(3661.167+(AVERAGE(B32:G32)))</f>
        <v>6049.6663333333336</v>
      </c>
      <c r="D34" s="368">
        <f>D31-(3661.167+(AVERAGE(B32:G32)))</f>
        <v>21122.666333333334</v>
      </c>
      <c r="E34" s="368">
        <f>E31-(3661.167+(AVERAGE(B32:G32)))</f>
        <v>5590.6663333333336</v>
      </c>
      <c r="F34" s="368">
        <f>F31-(3661.167+(AVERAGE(B32:G32)))</f>
        <v>9728.6663333333345</v>
      </c>
      <c r="G34" s="375">
        <f>G31-(3661.167+(AVERAGE(B32:G32)))</f>
        <v>10443.666333333334</v>
      </c>
      <c r="H34" s="371">
        <f>AVERAGE(B34:G34)</f>
        <v>11557.999666666668</v>
      </c>
      <c r="I34" s="374">
        <f>I31-(3661.167+(AVERAGE(I32:N32)))</f>
        <v>4903.3330000000005</v>
      </c>
      <c r="J34" s="368">
        <f>J31-(3661.167+(AVERAGE(I32:N32)))</f>
        <v>7040.3330000000005</v>
      </c>
      <c r="K34" s="368">
        <f>K31-(3661.167+(AVERAGE(I32:N32)))</f>
        <v>5529.3330000000005</v>
      </c>
      <c r="L34" s="368">
        <f>L31-(3661.167+(AVERAGE(I32:N32)))</f>
        <v>1691.3330000000001</v>
      </c>
      <c r="M34" s="368">
        <f>M31-(3661.167+(AVERAGE(I32:N32)))</f>
        <v>1619.3330000000001</v>
      </c>
      <c r="N34" s="375">
        <f>N31-(3661.167+(AVERAGE(I32:N32)))</f>
        <v>1622.3330000000001</v>
      </c>
      <c r="O34" s="371">
        <f>AVERAGE(I34:N34)</f>
        <v>3734.3330000000001</v>
      </c>
      <c r="P34" s="374">
        <f>P31-(3661.167+(AVERAGE(P32:U32)))</f>
        <v>14380.499666666667</v>
      </c>
      <c r="Q34" s="368">
        <f>Q31-(3661.167+(AVERAGE(P32:U32)))</f>
        <v>7053.4996666666666</v>
      </c>
      <c r="R34" s="368">
        <f>R31-(3661.167+(AVERAGE(P32:U32)))</f>
        <v>11807.499666666667</v>
      </c>
      <c r="S34" s="368">
        <f>S31-(3661.167+(AVERAGE(P32:U32)))</f>
        <v>5950.4996666666666</v>
      </c>
      <c r="T34" s="368">
        <f>T31-(3661.167+(AVERAGE(P32:U32)))</f>
        <v>4993.4996666666666</v>
      </c>
      <c r="U34" s="375">
        <f>U31-(3661.167+(AVERAGE(P32:U32)))</f>
        <v>4558.4996666666666</v>
      </c>
      <c r="V34" s="371">
        <f>AVERAGE(P34:U34)</f>
        <v>8123.9996666666675</v>
      </c>
      <c r="X34" s="277" t="s">
        <v>76</v>
      </c>
      <c r="Y34" s="278">
        <f>Y31-(3661.167+(AVERAGE(Y32:AD32)))</f>
        <v>3187.6663333333336</v>
      </c>
      <c r="Z34" s="279">
        <f>Z31-(3661.167+(AVERAGE(Y32:AD32)))</f>
        <v>1875.6663333333336</v>
      </c>
      <c r="AA34" s="279">
        <f>AA31-(3661.167+(AVERAGE(Y32:AD32)))</f>
        <v>6298.6663333333336</v>
      </c>
      <c r="AB34" s="279">
        <f>AB31-(3661.167+(AVERAGE(Y32:AD32)))</f>
        <v>2612.6663333333336</v>
      </c>
      <c r="AC34" s="279">
        <f>AC31-(3661.167+(AVERAGE(Y32:AD32)))</f>
        <v>3155.6663333333336</v>
      </c>
      <c r="AD34" s="280">
        <f>AD31-(3661.167+(AVERAGE(Y32:AD32)))</f>
        <v>6694.6663333333336</v>
      </c>
      <c r="AE34" s="283">
        <f>AVERAGE(Y34:AD34)</f>
        <v>3970.8330000000005</v>
      </c>
      <c r="AF34" s="278">
        <f>AF31-(3661.167+(AVERAGE(AF32:AK32)))</f>
        <v>2401.9996666666666</v>
      </c>
      <c r="AG34" s="279">
        <f>AG31-(3661.167+(AVERAGE(AF32:AK32)))</f>
        <v>1380.9996666666666</v>
      </c>
      <c r="AH34" s="279">
        <f>AH31-(3661.167+(AVERAGE(AF32:AK32)))</f>
        <v>3436.9996666666666</v>
      </c>
      <c r="AI34" s="279">
        <f>AI31-(3661.167+(AVERAGE(AF32:AK32)))</f>
        <v>1893.9996666666666</v>
      </c>
      <c r="AJ34" s="279">
        <f>AJ31-(3661.167+(AVERAGE(AF32:AK32)))</f>
        <v>2816.9996666666666</v>
      </c>
      <c r="AK34" s="280">
        <f>AK31-(3661.167+(AVERAGE(AF32:AK32)))</f>
        <v>6108.9996666666666</v>
      </c>
      <c r="AL34" s="283">
        <f>AVERAGE(AF34:AK34)</f>
        <v>3006.6663333333331</v>
      </c>
      <c r="AM34" s="278">
        <f>AM31-(3661.167+(AVERAGE(AM32:AR32)))</f>
        <v>3923.4996666666666</v>
      </c>
      <c r="AN34" s="279">
        <f>AN31-(3661.167+(AVERAGE(AM32:AR32)))</f>
        <v>1620.4996666666666</v>
      </c>
      <c r="AO34" s="279">
        <f>AO31-(3661.167+(AVERAGE(AM32:AR32)))</f>
        <v>2483.4996666666666</v>
      </c>
      <c r="AP34" s="279">
        <f>AP31-(3661.167+(AVERAGE(AM32:AR32)))</f>
        <v>2161.4996666666666</v>
      </c>
      <c r="AQ34" s="279">
        <f>AQ31-(3661.167+(AVERAGE(AM32:AR32)))</f>
        <v>2769.4996666666666</v>
      </c>
      <c r="AR34" s="280">
        <f>AR31-(3661.167+(AVERAGE(AM32:AR32)))</f>
        <v>5234.4996666666666</v>
      </c>
      <c r="AS34" s="283">
        <f>AVERAGE(AM34:AR34)</f>
        <v>3032.1663333333331</v>
      </c>
      <c r="AU34" s="226" t="s">
        <v>76</v>
      </c>
      <c r="AV34" s="242">
        <f>AV31-(36744.5+(AVERAGE(AV32:BA32)))</f>
        <v>16501.333333333336</v>
      </c>
      <c r="AW34" s="228">
        <f>AW31-(36744.5+(AVERAGE(AV32:BA32)))</f>
        <v>29748.333333333336</v>
      </c>
      <c r="AX34" s="228">
        <f>AX31-(36744.5+(AVERAGE(AV32:BA32)))</f>
        <v>32721.333333333336</v>
      </c>
      <c r="AY34" s="228">
        <f>AY31-(36744.5+(AVERAGE(AV32:BA32)))</f>
        <v>31999.333333333336</v>
      </c>
      <c r="AZ34" s="228">
        <f>AZ31-(36744.5+(AVERAGE(AV32:BA32)))</f>
        <v>30944.333333333336</v>
      </c>
      <c r="BA34" s="243">
        <f>BA31-(36744.5+(AVERAGE(AV32:BA32)))</f>
        <v>28162.333333333336</v>
      </c>
      <c r="BB34" s="231">
        <f>AVERAGE(AV34:BA34)</f>
        <v>28346.166666666672</v>
      </c>
      <c r="BC34" s="242">
        <f>BC31-(36744.5+(AVERAGE(BC32:BH32)))</f>
        <v>29402.833333333336</v>
      </c>
      <c r="BD34" s="228">
        <f>BD31-(36744.5+(AVERAGE(BC32:BH32)))</f>
        <v>45394.833333333336</v>
      </c>
      <c r="BE34" s="228">
        <f>BE31-(36744.5+(AVERAGE(BC32:BH32)))</f>
        <v>52646.833333333336</v>
      </c>
      <c r="BF34" s="228">
        <f>BF31-(36744.5+(AVERAGE(BC32:BH32)))</f>
        <v>49178.833333333336</v>
      </c>
      <c r="BG34" s="228">
        <f>BG31-(36744.5+(AVERAGE(BC32:BH32)))</f>
        <v>53256.833333333336</v>
      </c>
      <c r="BH34" s="243">
        <f>BH31-(36744.5+(AVERAGE(BC32:BH32)))</f>
        <v>50759.833333333336</v>
      </c>
      <c r="BI34" s="231">
        <f>AVERAGE(BC34:BH34)</f>
        <v>46773.333333333336</v>
      </c>
      <c r="BJ34" s="242">
        <f>BJ31-(36744.5+(AVERAGE(BJ32:BO32)))</f>
        <v>27167.833333333336</v>
      </c>
      <c r="BK34" s="228">
        <f>BK31-(36744.5+(AVERAGE(BJ32:BO32)))</f>
        <v>35007.833333333336</v>
      </c>
      <c r="BL34" s="228">
        <f>BL31-(36744.5+(AVERAGE(BJ32:BO32)))</f>
        <v>37104.833333333336</v>
      </c>
      <c r="BM34" s="228">
        <f>BM31-(36744.5+(AVERAGE(BJ32:BO32)))</f>
        <v>36100.833333333336</v>
      </c>
      <c r="BN34" s="228">
        <f>BN31-(36744.5+(AVERAGE(BJ32:BO32)))</f>
        <v>38545.833333333336</v>
      </c>
      <c r="BO34" s="243">
        <f>BO31-(36744.5+(AVERAGE(BJ32:BO32)))</f>
        <v>33190.833333333336</v>
      </c>
      <c r="BP34" s="231">
        <f>AVERAGE(BJ34:BO34)</f>
        <v>34519.666666666672</v>
      </c>
      <c r="BR34" s="232" t="s">
        <v>76</v>
      </c>
      <c r="BS34" s="244">
        <f>BS31-(36744.5+(AVERAGE(BS32:BX32)))</f>
        <v>25897.333333333336</v>
      </c>
      <c r="BT34" s="234">
        <f>BT31-(36744.5+(AVERAGE(BS32:BX32)))</f>
        <v>26815.333333333336</v>
      </c>
      <c r="BU34" s="234">
        <f>BU31-(36744.5+(AVERAGE(BS32:BX32)))</f>
        <v>25578.333333333336</v>
      </c>
      <c r="BV34" s="234">
        <f>BV31-(36744.5+(AVERAGE(BS32:BX32)))</f>
        <v>24849.333333333336</v>
      </c>
      <c r="BW34" s="234">
        <f>BW31-(36744.5+(AVERAGE(BS32:BX32)))</f>
        <v>16790.333333333336</v>
      </c>
      <c r="BX34" s="245">
        <f>BX31-(36744.5+(AVERAGE(BS32:BX32)))</f>
        <v>5981.3333333333358</v>
      </c>
      <c r="BY34" s="237">
        <f>AVERAGE(BS34:BX34)</f>
        <v>20985.333333333339</v>
      </c>
      <c r="BZ34" s="244">
        <f>BZ31-(36744.5+(AVERAGE(BZ32:CE32)))</f>
        <v>50786.5</v>
      </c>
      <c r="CA34" s="234">
        <f>CA31-(36744.5+(AVERAGE(BZ32:CE32)))</f>
        <v>44034.5</v>
      </c>
      <c r="CB34" s="234">
        <f>CB31-(36744.5+(AVERAGE(BZ32:CE32)))</f>
        <v>39681.5</v>
      </c>
      <c r="CC34" s="234">
        <f>CC31-(36744.5+(AVERAGE(BZ32:CE32)))</f>
        <v>28403.5</v>
      </c>
      <c r="CD34" s="234">
        <f>CD31-(36744.5+(AVERAGE(BZ32:CE32)))</f>
        <v>16161.5</v>
      </c>
      <c r="CE34" s="245">
        <f>CE31-(36744.5+(AVERAGE(BZ32:CE32)))</f>
        <v>16607.5</v>
      </c>
      <c r="CF34" s="237">
        <f>AVERAGE(BZ34:CE34)</f>
        <v>32612.5</v>
      </c>
      <c r="CG34" s="244">
        <f>CG31-(36744.5+(AVERAGE(CG32:CL32)))</f>
        <v>4917.6666666666642</v>
      </c>
      <c r="CH34" s="234">
        <f>CH31-(36744.5+(AVERAGE(CG32:CL32)))</f>
        <v>5153.6666666666642</v>
      </c>
      <c r="CI34" s="234">
        <f>CI31-(36744.5+(AVERAGE(CG32:CL32)))</f>
        <v>3849.6666666666642</v>
      </c>
      <c r="CJ34" s="234">
        <f>CJ31-(36744.5+(AVERAGE(CG32:CL32)))</f>
        <v>4857.6666666666642</v>
      </c>
      <c r="CK34" s="234">
        <f>CK31-(36744.5+(AVERAGE(CG32:CL32)))</f>
        <v>5177.6666666666642</v>
      </c>
      <c r="CL34" s="245">
        <f>CL31-(36744.5+(AVERAGE(CG32:CL32)))</f>
        <v>5633.6666666666642</v>
      </c>
      <c r="CM34" s="237">
        <f>AVERAGE(CG34:CL34)</f>
        <v>4931.6666666666642</v>
      </c>
    </row>
    <row r="35" spans="1:91" ht="15.75" thickBot="1" x14ac:dyDescent="0.3">
      <c r="H35" s="291"/>
      <c r="I35" s="291"/>
      <c r="O35" s="291"/>
      <c r="P35" s="291"/>
      <c r="V35" s="290"/>
      <c r="AD35" s="291"/>
      <c r="AF35" s="291"/>
      <c r="AL35" s="291"/>
      <c r="AM35" s="291"/>
      <c r="AS35" s="291"/>
      <c r="BB35" s="291"/>
      <c r="BC35" s="291"/>
      <c r="BI35" s="291"/>
      <c r="BJ35" s="291"/>
      <c r="BP35" s="290"/>
      <c r="BX35" s="291"/>
      <c r="BZ35" s="291"/>
      <c r="CF35" s="291"/>
      <c r="CG35" s="291"/>
      <c r="CM35" s="291"/>
    </row>
    <row r="36" spans="1:91" x14ac:dyDescent="0.25">
      <c r="A36" s="638" t="s">
        <v>99</v>
      </c>
      <c r="B36" s="640" t="s">
        <v>69</v>
      </c>
      <c r="C36" s="641"/>
      <c r="D36" s="641"/>
      <c r="E36" s="641"/>
      <c r="F36" s="641"/>
      <c r="G36" s="642"/>
      <c r="H36" s="643"/>
      <c r="I36" s="640" t="s">
        <v>70</v>
      </c>
      <c r="J36" s="641"/>
      <c r="K36" s="641"/>
      <c r="L36" s="641"/>
      <c r="M36" s="641"/>
      <c r="N36" s="642"/>
      <c r="O36" s="643"/>
      <c r="P36" s="640" t="s">
        <v>71</v>
      </c>
      <c r="Q36" s="641"/>
      <c r="R36" s="641"/>
      <c r="S36" s="641"/>
      <c r="T36" s="641"/>
      <c r="U36" s="642"/>
      <c r="V36" s="376"/>
      <c r="X36" s="645" t="s">
        <v>100</v>
      </c>
      <c r="Y36" s="616" t="s">
        <v>69</v>
      </c>
      <c r="Z36" s="617"/>
      <c r="AA36" s="617"/>
      <c r="AB36" s="617"/>
      <c r="AC36" s="617"/>
      <c r="AD36" s="635"/>
      <c r="AE36" s="636"/>
      <c r="AF36" s="616" t="s">
        <v>70</v>
      </c>
      <c r="AG36" s="617"/>
      <c r="AH36" s="617"/>
      <c r="AI36" s="617"/>
      <c r="AJ36" s="617"/>
      <c r="AK36" s="635"/>
      <c r="AL36" s="636"/>
      <c r="AM36" s="616" t="s">
        <v>71</v>
      </c>
      <c r="AN36" s="617"/>
      <c r="AO36" s="617"/>
      <c r="AP36" s="617"/>
      <c r="AQ36" s="617"/>
      <c r="AR36" s="635"/>
      <c r="AS36" s="636"/>
      <c r="AU36" s="650" t="s">
        <v>85</v>
      </c>
      <c r="AV36" s="607" t="s">
        <v>69</v>
      </c>
      <c r="AW36" s="608"/>
      <c r="AX36" s="608"/>
      <c r="AY36" s="608"/>
      <c r="AZ36" s="608"/>
      <c r="BA36" s="655"/>
      <c r="BB36" s="653" t="s">
        <v>52</v>
      </c>
      <c r="BC36" s="607" t="s">
        <v>70</v>
      </c>
      <c r="BD36" s="608"/>
      <c r="BE36" s="608"/>
      <c r="BF36" s="608"/>
      <c r="BG36" s="608"/>
      <c r="BH36" s="655"/>
      <c r="BI36" s="653" t="s">
        <v>52</v>
      </c>
      <c r="BJ36" s="607" t="s">
        <v>71</v>
      </c>
      <c r="BK36" s="608"/>
      <c r="BL36" s="608"/>
      <c r="BM36" s="608"/>
      <c r="BN36" s="608"/>
      <c r="BO36" s="655"/>
      <c r="BP36" s="238"/>
      <c r="BR36" s="511" t="s">
        <v>86</v>
      </c>
      <c r="BS36" s="623" t="s">
        <v>69</v>
      </c>
      <c r="BT36" s="624"/>
      <c r="BU36" s="624"/>
      <c r="BV36" s="624"/>
      <c r="BW36" s="624"/>
      <c r="BX36" s="658"/>
      <c r="BY36" s="656" t="s">
        <v>52</v>
      </c>
      <c r="BZ36" s="623" t="s">
        <v>70</v>
      </c>
      <c r="CA36" s="624"/>
      <c r="CB36" s="624"/>
      <c r="CC36" s="624"/>
      <c r="CD36" s="624"/>
      <c r="CE36" s="658"/>
      <c r="CF36" s="656" t="s">
        <v>52</v>
      </c>
      <c r="CG36" s="623" t="s">
        <v>71</v>
      </c>
      <c r="CH36" s="624"/>
      <c r="CI36" s="624"/>
      <c r="CJ36" s="624"/>
      <c r="CK36" s="624"/>
      <c r="CL36" s="658"/>
      <c r="CM36" s="656" t="s">
        <v>52</v>
      </c>
    </row>
    <row r="37" spans="1:91" ht="15.75" thickBot="1" x14ac:dyDescent="0.3">
      <c r="A37" s="639"/>
      <c r="B37" s="363">
        <v>1</v>
      </c>
      <c r="C37" s="344">
        <v>2</v>
      </c>
      <c r="D37" s="344">
        <v>3</v>
      </c>
      <c r="E37" s="344">
        <v>4</v>
      </c>
      <c r="F37" s="344">
        <v>5</v>
      </c>
      <c r="G37" s="345">
        <v>6</v>
      </c>
      <c r="H37" s="644"/>
      <c r="I37" s="343">
        <v>1</v>
      </c>
      <c r="J37" s="344">
        <v>2</v>
      </c>
      <c r="K37" s="344">
        <v>3</v>
      </c>
      <c r="L37" s="344">
        <v>4</v>
      </c>
      <c r="M37" s="344">
        <v>5</v>
      </c>
      <c r="N37" s="345">
        <v>6</v>
      </c>
      <c r="O37" s="644"/>
      <c r="P37" s="343">
        <v>1</v>
      </c>
      <c r="Q37" s="344">
        <v>2</v>
      </c>
      <c r="R37" s="344">
        <v>3</v>
      </c>
      <c r="S37" s="344">
        <v>4</v>
      </c>
      <c r="T37" s="344">
        <v>5</v>
      </c>
      <c r="U37" s="346">
        <v>6</v>
      </c>
      <c r="V37" s="177"/>
      <c r="X37" s="646"/>
      <c r="Y37" s="158">
        <v>1</v>
      </c>
      <c r="Z37" s="159">
        <v>2</v>
      </c>
      <c r="AA37" s="159">
        <v>3</v>
      </c>
      <c r="AB37" s="159">
        <v>4</v>
      </c>
      <c r="AC37" s="159">
        <v>5</v>
      </c>
      <c r="AD37" s="266">
        <v>6</v>
      </c>
      <c r="AE37" s="637"/>
      <c r="AF37" s="160">
        <v>1</v>
      </c>
      <c r="AG37" s="159">
        <v>2</v>
      </c>
      <c r="AH37" s="159">
        <v>3</v>
      </c>
      <c r="AI37" s="159">
        <v>4</v>
      </c>
      <c r="AJ37" s="159">
        <v>5</v>
      </c>
      <c r="AK37" s="266">
        <v>6</v>
      </c>
      <c r="AL37" s="637"/>
      <c r="AM37" s="160">
        <v>1</v>
      </c>
      <c r="AN37" s="159">
        <v>2</v>
      </c>
      <c r="AO37" s="159">
        <v>3</v>
      </c>
      <c r="AP37" s="159">
        <v>4</v>
      </c>
      <c r="AQ37" s="159">
        <v>5</v>
      </c>
      <c r="AR37" s="267">
        <v>6</v>
      </c>
      <c r="AS37" s="637"/>
      <c r="AU37" s="651"/>
      <c r="AV37" s="88">
        <v>1</v>
      </c>
      <c r="AW37" s="89">
        <v>2</v>
      </c>
      <c r="AX37" s="89">
        <v>3</v>
      </c>
      <c r="AY37" s="89">
        <v>4</v>
      </c>
      <c r="AZ37" s="89">
        <v>5</v>
      </c>
      <c r="BA37" s="97">
        <v>6</v>
      </c>
      <c r="BB37" s="654"/>
      <c r="BC37" s="91">
        <v>1</v>
      </c>
      <c r="BD37" s="89">
        <v>2</v>
      </c>
      <c r="BE37" s="89">
        <v>3</v>
      </c>
      <c r="BF37" s="89">
        <v>4</v>
      </c>
      <c r="BG37" s="89">
        <v>5</v>
      </c>
      <c r="BH37" s="97">
        <v>6</v>
      </c>
      <c r="BI37" s="654"/>
      <c r="BJ37" s="91">
        <v>1</v>
      </c>
      <c r="BK37" s="89">
        <v>2</v>
      </c>
      <c r="BL37" s="89">
        <v>3</v>
      </c>
      <c r="BM37" s="89">
        <v>4</v>
      </c>
      <c r="BN37" s="89">
        <v>5</v>
      </c>
      <c r="BO37" s="200">
        <v>6</v>
      </c>
      <c r="BP37" s="38"/>
      <c r="BR37" s="512"/>
      <c r="BS37" s="115">
        <v>1</v>
      </c>
      <c r="BT37" s="116">
        <v>2</v>
      </c>
      <c r="BU37" s="116">
        <v>3</v>
      </c>
      <c r="BV37" s="116">
        <v>4</v>
      </c>
      <c r="BW37" s="116">
        <v>5</v>
      </c>
      <c r="BX37" s="117">
        <v>6</v>
      </c>
      <c r="BY37" s="657"/>
      <c r="BZ37" s="118">
        <v>1</v>
      </c>
      <c r="CA37" s="116">
        <v>2</v>
      </c>
      <c r="CB37" s="116">
        <v>3</v>
      </c>
      <c r="CC37" s="116">
        <v>4</v>
      </c>
      <c r="CD37" s="116">
        <v>5</v>
      </c>
      <c r="CE37" s="117">
        <v>6</v>
      </c>
      <c r="CF37" s="657"/>
      <c r="CG37" s="118">
        <v>1</v>
      </c>
      <c r="CH37" s="116">
        <v>2</v>
      </c>
      <c r="CI37" s="116">
        <v>3</v>
      </c>
      <c r="CJ37" s="116">
        <v>4</v>
      </c>
      <c r="CK37" s="116">
        <v>5</v>
      </c>
      <c r="CL37" s="201">
        <v>6</v>
      </c>
      <c r="CM37" s="657"/>
    </row>
    <row r="38" spans="1:91" x14ac:dyDescent="0.25">
      <c r="A38" s="351" t="s">
        <v>73</v>
      </c>
      <c r="B38" s="348">
        <v>16319</v>
      </c>
      <c r="C38" s="349">
        <v>15527</v>
      </c>
      <c r="D38" s="349">
        <v>17559</v>
      </c>
      <c r="E38" s="349">
        <v>13081</v>
      </c>
      <c r="F38" s="349">
        <v>15911</v>
      </c>
      <c r="G38" s="353">
        <v>24152</v>
      </c>
      <c r="H38" s="377">
        <f>AVERAGE(B38:G38)</f>
        <v>17091.5</v>
      </c>
      <c r="I38" s="352">
        <v>9375</v>
      </c>
      <c r="J38" s="349">
        <v>8515</v>
      </c>
      <c r="K38" s="349">
        <v>7058</v>
      </c>
      <c r="L38" s="349">
        <v>6746</v>
      </c>
      <c r="M38" s="349">
        <v>6426</v>
      </c>
      <c r="N38" s="350">
        <v>6739</v>
      </c>
      <c r="O38" s="351">
        <f>AVERAGE(I38:N38)</f>
        <v>7476.5</v>
      </c>
      <c r="P38" s="352">
        <v>41000</v>
      </c>
      <c r="Q38" s="349">
        <v>16794</v>
      </c>
      <c r="R38" s="349">
        <v>18159</v>
      </c>
      <c r="S38" s="349">
        <v>11409</v>
      </c>
      <c r="T38" s="349">
        <v>11772</v>
      </c>
      <c r="U38" s="353">
        <v>12334</v>
      </c>
      <c r="V38" s="351">
        <f>AVERAGE(P38:U38)</f>
        <v>18578</v>
      </c>
      <c r="X38" s="161" t="s">
        <v>73</v>
      </c>
      <c r="Y38" s="150">
        <v>6986</v>
      </c>
      <c r="Z38" s="151">
        <v>6897</v>
      </c>
      <c r="AA38" s="151">
        <v>8357</v>
      </c>
      <c r="AB38" s="151">
        <v>8293</v>
      </c>
      <c r="AC38" s="151">
        <v>6533</v>
      </c>
      <c r="AD38" s="185">
        <v>12022</v>
      </c>
      <c r="AE38" s="269">
        <f>AVERAGE(Y38:AD38)</f>
        <v>8181.333333333333</v>
      </c>
      <c r="AF38" s="152">
        <v>8201</v>
      </c>
      <c r="AG38" s="151">
        <v>6097</v>
      </c>
      <c r="AH38" s="151">
        <v>7330</v>
      </c>
      <c r="AI38" s="151">
        <v>6584</v>
      </c>
      <c r="AJ38" s="151">
        <v>9212</v>
      </c>
      <c r="AK38" s="270">
        <v>6236</v>
      </c>
      <c r="AL38" s="161">
        <f>AVERAGE(AF38:AK38)</f>
        <v>7276.666666666667</v>
      </c>
      <c r="AM38" s="152">
        <v>5347</v>
      </c>
      <c r="AN38" s="151">
        <v>7664</v>
      </c>
      <c r="AO38" s="151">
        <v>6199</v>
      </c>
      <c r="AP38" s="151">
        <v>6319</v>
      </c>
      <c r="AQ38" s="151">
        <v>6088</v>
      </c>
      <c r="AR38" s="185">
        <v>6887</v>
      </c>
      <c r="AS38" s="161">
        <f>AVERAGE(AM38:AR38)</f>
        <v>6417.333333333333</v>
      </c>
      <c r="AU38" s="29" t="s">
        <v>73</v>
      </c>
      <c r="AV38" s="203">
        <v>49022</v>
      </c>
      <c r="AW38" s="204">
        <v>55493</v>
      </c>
      <c r="AX38" s="204">
        <v>70642</v>
      </c>
      <c r="AY38" s="204">
        <v>72322</v>
      </c>
      <c r="AZ38" s="204">
        <v>71342</v>
      </c>
      <c r="BA38" s="207">
        <v>70379</v>
      </c>
      <c r="BB38" s="250">
        <f>AVERAGE(AV38:BA38)</f>
        <v>64866.666666666664</v>
      </c>
      <c r="BC38" s="206">
        <v>56468</v>
      </c>
      <c r="BD38" s="204">
        <v>81035</v>
      </c>
      <c r="BE38" s="204">
        <v>91544</v>
      </c>
      <c r="BF38" s="204">
        <v>89903</v>
      </c>
      <c r="BG38" s="204">
        <v>92327</v>
      </c>
      <c r="BH38" s="205">
        <v>89283</v>
      </c>
      <c r="BI38" s="29">
        <f>AVERAGE(BC38:BH38)</f>
        <v>83426.666666666672</v>
      </c>
      <c r="BJ38" s="206">
        <v>62727</v>
      </c>
      <c r="BK38" s="204">
        <v>76016</v>
      </c>
      <c r="BL38" s="204">
        <v>72836</v>
      </c>
      <c r="BM38" s="204">
        <v>67488</v>
      </c>
      <c r="BN38" s="204">
        <v>76804</v>
      </c>
      <c r="BO38" s="207">
        <v>77792</v>
      </c>
      <c r="BP38" s="29">
        <f>AVERAGE(BJ38:BO38)</f>
        <v>72277.166666666672</v>
      </c>
      <c r="BR38" s="51" t="s">
        <v>73</v>
      </c>
      <c r="BS38" s="107">
        <v>60803</v>
      </c>
      <c r="BT38" s="108">
        <v>52354</v>
      </c>
      <c r="BU38" s="108">
        <v>64457</v>
      </c>
      <c r="BV38" s="108">
        <v>57228</v>
      </c>
      <c r="BW38" s="108">
        <v>47595</v>
      </c>
      <c r="BX38" s="209">
        <v>42595</v>
      </c>
      <c r="BY38" s="251">
        <f>AVERAGE(BS38:BX38)</f>
        <v>54172</v>
      </c>
      <c r="BZ38" s="110">
        <v>78931</v>
      </c>
      <c r="CA38" s="108">
        <v>73768</v>
      </c>
      <c r="CB38" s="108">
        <v>82950</v>
      </c>
      <c r="CC38" s="108">
        <v>77717</v>
      </c>
      <c r="CD38" s="108">
        <v>56567</v>
      </c>
      <c r="CE38" s="109">
        <v>54161</v>
      </c>
      <c r="CF38" s="51">
        <f>AVERAGE(BZ38:CE38)</f>
        <v>70682.333333333328</v>
      </c>
      <c r="CG38" s="110">
        <v>44741</v>
      </c>
      <c r="CH38" s="108">
        <v>45682</v>
      </c>
      <c r="CI38" s="108">
        <v>46141</v>
      </c>
      <c r="CJ38" s="108">
        <v>44146</v>
      </c>
      <c r="CK38" s="108">
        <v>44791</v>
      </c>
      <c r="CL38" s="209">
        <v>44560</v>
      </c>
      <c r="CM38" s="51">
        <f>AVERAGE(CG38:CL38)</f>
        <v>45010.166666666664</v>
      </c>
    </row>
    <row r="39" spans="1:91" x14ac:dyDescent="0.25">
      <c r="A39" s="171" t="s">
        <v>74</v>
      </c>
      <c r="B39" s="355">
        <v>73</v>
      </c>
      <c r="C39" s="356">
        <v>87</v>
      </c>
      <c r="D39" s="356">
        <v>78</v>
      </c>
      <c r="E39" s="356">
        <v>74</v>
      </c>
      <c r="F39" s="356">
        <v>76</v>
      </c>
      <c r="G39" s="373">
        <v>71</v>
      </c>
      <c r="H39" s="378">
        <f>AVERAGE(B39:G39)</f>
        <v>76.5</v>
      </c>
      <c r="I39" s="372">
        <v>83</v>
      </c>
      <c r="J39" s="356">
        <v>82</v>
      </c>
      <c r="K39" s="356">
        <v>77</v>
      </c>
      <c r="L39" s="356">
        <v>74</v>
      </c>
      <c r="M39" s="356">
        <v>80</v>
      </c>
      <c r="N39" s="364">
        <v>75</v>
      </c>
      <c r="O39" s="359">
        <f>AVERAGE(I39:N39)</f>
        <v>78.5</v>
      </c>
      <c r="P39" s="372">
        <v>71</v>
      </c>
      <c r="Q39" s="356">
        <v>65</v>
      </c>
      <c r="R39" s="356">
        <v>86</v>
      </c>
      <c r="S39" s="356">
        <v>73</v>
      </c>
      <c r="T39" s="356">
        <v>74</v>
      </c>
      <c r="U39" s="373">
        <v>81</v>
      </c>
      <c r="V39" s="359">
        <f>AVERAGE(P39:U39)</f>
        <v>75</v>
      </c>
      <c r="X39" s="162" t="s">
        <v>74</v>
      </c>
      <c r="Y39" s="154">
        <v>75</v>
      </c>
      <c r="Z39" s="155">
        <v>82</v>
      </c>
      <c r="AA39" s="155">
        <v>78</v>
      </c>
      <c r="AB39" s="155">
        <v>75</v>
      </c>
      <c r="AC39" s="155">
        <v>92</v>
      </c>
      <c r="AD39" s="187">
        <v>78</v>
      </c>
      <c r="AE39" s="272">
        <f>AVERAGE(Y39:AD39)</f>
        <v>80</v>
      </c>
      <c r="AF39" s="156">
        <v>75</v>
      </c>
      <c r="AG39" s="155">
        <v>82</v>
      </c>
      <c r="AH39" s="155">
        <v>73</v>
      </c>
      <c r="AI39" s="155">
        <v>67</v>
      </c>
      <c r="AJ39" s="155">
        <v>74</v>
      </c>
      <c r="AK39" s="285">
        <v>77</v>
      </c>
      <c r="AL39" s="275">
        <f>AVERAGE(AF39:AK39)</f>
        <v>74.666666666666671</v>
      </c>
      <c r="AM39" s="156">
        <v>76</v>
      </c>
      <c r="AN39" s="155">
        <v>68</v>
      </c>
      <c r="AO39" s="155">
        <v>77</v>
      </c>
      <c r="AP39" s="155">
        <v>81</v>
      </c>
      <c r="AQ39" s="155">
        <v>85</v>
      </c>
      <c r="AR39" s="187">
        <v>82</v>
      </c>
      <c r="AS39" s="275">
        <f>AVERAGE(AM39:AR39)</f>
        <v>78.166666666666671</v>
      </c>
      <c r="AU39" s="36" t="s">
        <v>74</v>
      </c>
      <c r="AV39" s="87">
        <v>47</v>
      </c>
      <c r="AW39" s="86">
        <v>41</v>
      </c>
      <c r="AX39" s="86">
        <v>58</v>
      </c>
      <c r="AY39" s="86">
        <v>49</v>
      </c>
      <c r="AZ39" s="86">
        <v>53</v>
      </c>
      <c r="BA39" s="240">
        <v>47</v>
      </c>
      <c r="BB39" s="252">
        <f>AVERAGE(AV39:BA39)</f>
        <v>49.166666666666664</v>
      </c>
      <c r="BC39" s="90">
        <v>51</v>
      </c>
      <c r="BD39" s="86">
        <v>46</v>
      </c>
      <c r="BE39" s="86">
        <v>51</v>
      </c>
      <c r="BF39" s="86">
        <v>57</v>
      </c>
      <c r="BG39" s="86">
        <v>55</v>
      </c>
      <c r="BH39" s="96">
        <v>64</v>
      </c>
      <c r="BI39" s="213">
        <f>AVERAGE(BC39:BH39)</f>
        <v>54</v>
      </c>
      <c r="BJ39" s="90">
        <v>46</v>
      </c>
      <c r="BK39" s="86">
        <v>45</v>
      </c>
      <c r="BL39" s="86">
        <v>65</v>
      </c>
      <c r="BM39" s="86">
        <v>61</v>
      </c>
      <c r="BN39" s="86">
        <v>58</v>
      </c>
      <c r="BO39" s="240">
        <v>50</v>
      </c>
      <c r="BP39" s="213">
        <f>AVERAGE(BJ39:BO39)</f>
        <v>54.166666666666664</v>
      </c>
      <c r="BR39" s="60" t="s">
        <v>74</v>
      </c>
      <c r="BS39" s="112">
        <v>63</v>
      </c>
      <c r="BT39" s="2">
        <v>66</v>
      </c>
      <c r="BU39" s="2">
        <v>57</v>
      </c>
      <c r="BV39" s="2">
        <v>56</v>
      </c>
      <c r="BW39" s="2">
        <v>58</v>
      </c>
      <c r="BX39" s="241">
        <v>61</v>
      </c>
      <c r="BY39" s="253">
        <f>AVERAGE(BS39:BX39)</f>
        <v>60.166666666666664</v>
      </c>
      <c r="BZ39" s="10">
        <v>60</v>
      </c>
      <c r="CA39" s="2">
        <v>70</v>
      </c>
      <c r="CB39" s="2">
        <v>51</v>
      </c>
      <c r="CC39" s="2">
        <v>57</v>
      </c>
      <c r="CD39" s="2">
        <v>73</v>
      </c>
      <c r="CE39" s="113">
        <v>69</v>
      </c>
      <c r="CF39" s="219">
        <f>AVERAGE(BZ39:CE39)</f>
        <v>63.333333333333336</v>
      </c>
      <c r="CG39" s="10">
        <v>67</v>
      </c>
      <c r="CH39" s="2">
        <v>68</v>
      </c>
      <c r="CI39" s="2">
        <v>71</v>
      </c>
      <c r="CJ39" s="2">
        <v>61</v>
      </c>
      <c r="CK39" s="2">
        <v>61</v>
      </c>
      <c r="CL39" s="241">
        <v>74</v>
      </c>
      <c r="CM39" s="219">
        <f>AVERAGE(CG39:CL39)</f>
        <v>67</v>
      </c>
    </row>
    <row r="40" spans="1:91" ht="15.75" thickBot="1" x14ac:dyDescent="0.3">
      <c r="A40" s="177" t="s">
        <v>75</v>
      </c>
      <c r="B40" s="379">
        <v>3696</v>
      </c>
      <c r="C40" s="357">
        <v>3652</v>
      </c>
      <c r="D40" s="358">
        <v>3662</v>
      </c>
      <c r="E40" s="332">
        <v>3647</v>
      </c>
      <c r="F40" s="332">
        <v>3669</v>
      </c>
      <c r="G40" s="378">
        <v>3641</v>
      </c>
      <c r="H40" s="365"/>
      <c r="I40" s="327"/>
      <c r="J40" s="327"/>
      <c r="K40" s="327"/>
      <c r="L40" s="327"/>
      <c r="M40" s="327"/>
      <c r="N40" s="327"/>
      <c r="O40" s="171"/>
      <c r="P40" s="327"/>
      <c r="Q40" s="327"/>
      <c r="R40" s="327"/>
      <c r="S40" s="327"/>
      <c r="T40" s="327"/>
      <c r="U40" s="365"/>
      <c r="V40" s="171">
        <f>AVERAGE(B40:G40)</f>
        <v>3661.1666666666665</v>
      </c>
      <c r="X40" s="163" t="s">
        <v>75</v>
      </c>
      <c r="Y40" s="193">
        <v>3696</v>
      </c>
      <c r="Z40" s="194">
        <v>3652</v>
      </c>
      <c r="AA40" s="274">
        <v>3662</v>
      </c>
      <c r="AB40" s="276">
        <v>3647</v>
      </c>
      <c r="AC40" s="276">
        <v>3669</v>
      </c>
      <c r="AD40" s="272">
        <v>3641</v>
      </c>
      <c r="AE40" s="287"/>
      <c r="AF40" s="286"/>
      <c r="AG40" s="286"/>
      <c r="AH40" s="286"/>
      <c r="AI40" s="286"/>
      <c r="AJ40" s="286"/>
      <c r="AK40" s="286"/>
      <c r="AL40" s="162"/>
      <c r="AM40" s="286"/>
      <c r="AN40" s="286"/>
      <c r="AO40" s="286"/>
      <c r="AP40" s="286"/>
      <c r="AQ40" s="286"/>
      <c r="AR40" s="287"/>
      <c r="AS40" s="162">
        <f>AVERAGE(Y40:AD40)</f>
        <v>3661.1666666666665</v>
      </c>
      <c r="AU40" s="38" t="s">
        <v>75</v>
      </c>
      <c r="AV40" s="254">
        <v>36591</v>
      </c>
      <c r="AW40" s="211">
        <v>37370</v>
      </c>
      <c r="AX40" s="212"/>
      <c r="AY40" s="255"/>
      <c r="AZ40" s="255"/>
      <c r="BA40" s="252"/>
      <c r="BB40" s="223"/>
      <c r="BC40" s="37"/>
      <c r="BD40" s="37"/>
      <c r="BE40" s="37"/>
      <c r="BF40" s="37"/>
      <c r="BG40" s="37"/>
      <c r="BH40" s="37"/>
      <c r="BI40" s="36"/>
      <c r="BJ40" s="37"/>
      <c r="BK40" s="37"/>
      <c r="BL40" s="37"/>
      <c r="BM40" s="37"/>
      <c r="BN40" s="37"/>
      <c r="BO40" s="223"/>
      <c r="BP40" s="36">
        <f>AVERAGE(AV40:AW40)</f>
        <v>36980.5</v>
      </c>
      <c r="BR40" s="63" t="s">
        <v>75</v>
      </c>
      <c r="BS40" s="256">
        <v>36591</v>
      </c>
      <c r="BT40" s="217">
        <v>37370</v>
      </c>
      <c r="BU40" s="218"/>
      <c r="BV40" s="257"/>
      <c r="BW40" s="257"/>
      <c r="BX40" s="253"/>
      <c r="BY40" s="225"/>
      <c r="BZ40" s="59"/>
      <c r="CA40" s="59"/>
      <c r="CB40" s="59"/>
      <c r="CC40" s="59"/>
      <c r="CD40" s="59"/>
      <c r="CE40" s="59"/>
      <c r="CF40" s="60"/>
      <c r="CG40" s="59"/>
      <c r="CH40" s="59"/>
      <c r="CI40" s="59"/>
      <c r="CJ40" s="59"/>
      <c r="CK40" s="59"/>
      <c r="CL40" s="225"/>
      <c r="CM40" s="60">
        <f>AVERAGE(BS40:BT40)</f>
        <v>36980.5</v>
      </c>
    </row>
    <row r="41" spans="1:91" ht="15.75" thickBot="1" x14ac:dyDescent="0.3">
      <c r="A41" s="380" t="s">
        <v>76</v>
      </c>
      <c r="B41" s="374">
        <f>B38-(3661.167+(AVERAGE(B39:G39)))</f>
        <v>12581.333000000001</v>
      </c>
      <c r="C41" s="368">
        <f>C38-(3661.167+(AVERAGE(B39:G39)))</f>
        <v>11789.333000000001</v>
      </c>
      <c r="D41" s="368">
        <f>D38-(3661.167+(AVERAGE(B39:G39)))</f>
        <v>13821.333000000001</v>
      </c>
      <c r="E41" s="368">
        <f>E38-(3661.167+(AVERAGE(B39:G39)))</f>
        <v>9343.3330000000005</v>
      </c>
      <c r="F41" s="368">
        <f>F38-(3661.167+(AVERAGE(B39:G39)))</f>
        <v>12173.333000000001</v>
      </c>
      <c r="G41" s="381">
        <f>G38-(3661.167+(AVERAGE(B39:G39)))</f>
        <v>20414.332999999999</v>
      </c>
      <c r="H41" s="382">
        <f>AVERAGE(B41:G41)</f>
        <v>13353.832999999999</v>
      </c>
      <c r="I41" s="374">
        <f>I38-(3661.167+(AVERAGE(I39:N39)))</f>
        <v>5635.3330000000005</v>
      </c>
      <c r="J41" s="368">
        <f>J38-(3661.167+(AVERAGE(I39:N39)))</f>
        <v>4775.3330000000005</v>
      </c>
      <c r="K41" s="368">
        <f>K38-(3661.167+(AVERAGE(I39:N39)))</f>
        <v>3318.3330000000001</v>
      </c>
      <c r="L41" s="368">
        <f>L38-(3661.167+(AVERAGE(I39:N39)))</f>
        <v>3006.3330000000001</v>
      </c>
      <c r="M41" s="368">
        <f>M38-(3661.167+(AVERAGE(I39:N39)))</f>
        <v>2686.3330000000001</v>
      </c>
      <c r="N41" s="381">
        <f>N38-(3661.167+(AVERAGE(I39:N39)))</f>
        <v>2999.3330000000001</v>
      </c>
      <c r="O41" s="371">
        <f>AVERAGE(I41:N41)</f>
        <v>3736.8330000000001</v>
      </c>
      <c r="P41" s="374">
        <f>P38-(3661.167+(AVERAGE(P39:U39)))</f>
        <v>37263.832999999999</v>
      </c>
      <c r="Q41" s="368">
        <f>Q38-(3661.167+(AVERAGE(P39:U39)))</f>
        <v>13057.833000000001</v>
      </c>
      <c r="R41" s="368">
        <f>R38-(3661.167+(AVERAGE(P39:U39)))</f>
        <v>14422.833000000001</v>
      </c>
      <c r="S41" s="368">
        <f>S38-(3661.167+(AVERAGE(P39:U39)))</f>
        <v>7672.8330000000005</v>
      </c>
      <c r="T41" s="368">
        <f>T38-(3661.167+(AVERAGE(P39:U39)))</f>
        <v>8035.8330000000005</v>
      </c>
      <c r="U41" s="381">
        <f>U38-(3661.167+(AVERAGE(P39:U39)))</f>
        <v>8597.8330000000005</v>
      </c>
      <c r="V41" s="371">
        <f>AVERAGE(P41:U41)</f>
        <v>14841.832999999999</v>
      </c>
      <c r="X41" s="288" t="s">
        <v>76</v>
      </c>
      <c r="Y41" s="278">
        <f>Y38-(3661.167+(AVERAGE(Y39:AD39)))</f>
        <v>3244.8330000000001</v>
      </c>
      <c r="Z41" s="279">
        <f>Z38-(3661.167+(AVERAGE(Y39:AD39)))</f>
        <v>3155.8330000000001</v>
      </c>
      <c r="AA41" s="279">
        <f>AA38-(3661.167+(AVERAGE(Y39:AD39)))</f>
        <v>4615.8330000000005</v>
      </c>
      <c r="AB41" s="279">
        <f>AB38-(3661.167+(AVERAGE(Y39:AD39)))</f>
        <v>4551.8330000000005</v>
      </c>
      <c r="AC41" s="279">
        <f>AC38-(3661.167+(AVERAGE(Y39:AD39)))</f>
        <v>2791.8330000000001</v>
      </c>
      <c r="AD41" s="282">
        <f>AD38-(3661.167+(AVERAGE(Y39:AD39)))</f>
        <v>8280.8330000000005</v>
      </c>
      <c r="AE41" s="289">
        <f>AVERAGE(Y41:AD41)</f>
        <v>4440.1663333333336</v>
      </c>
      <c r="AF41" s="278">
        <f>AF38-(3661.167+(AVERAGE(AF39:AK39)))</f>
        <v>4465.1663333333336</v>
      </c>
      <c r="AG41" s="279">
        <f>AG38-(3661.167+(AVERAGE(AF39:AK39)))</f>
        <v>2361.1663333333336</v>
      </c>
      <c r="AH41" s="279">
        <f>AH38-(3661.167+(AVERAGE(AF39:AK39)))</f>
        <v>3594.1663333333336</v>
      </c>
      <c r="AI41" s="279">
        <f>AI38-(3661.167+(AVERAGE(AF39:AK39)))</f>
        <v>2848.1663333333336</v>
      </c>
      <c r="AJ41" s="279">
        <f>AJ38-(3661.167+(AVERAGE(AF39:AK39)))</f>
        <v>5476.1663333333336</v>
      </c>
      <c r="AK41" s="282">
        <f>AK38-(3661.167+(AVERAGE(AF39:AK39)))</f>
        <v>2500.1663333333336</v>
      </c>
      <c r="AL41" s="283">
        <f>AVERAGE(AF41:AK41)</f>
        <v>3540.8330000000005</v>
      </c>
      <c r="AM41" s="278">
        <f>AM38-(3661.167+(AVERAGE(AM39:AR39)))</f>
        <v>1607.6663333333336</v>
      </c>
      <c r="AN41" s="279">
        <f>AN38-(3661.167+(AVERAGE(AM39:AR39)))</f>
        <v>3924.6663333333336</v>
      </c>
      <c r="AO41" s="279">
        <f>AO38-(3661.167+(AVERAGE(AM39:AR39)))</f>
        <v>2459.6663333333336</v>
      </c>
      <c r="AP41" s="279">
        <f>AP38-(3661.167+(AVERAGE(AM39:AR39)))</f>
        <v>2579.6663333333336</v>
      </c>
      <c r="AQ41" s="279">
        <f>AQ38-(3661.167+(AVERAGE(AM39:AR39)))</f>
        <v>2348.6663333333336</v>
      </c>
      <c r="AR41" s="282">
        <f>AR38-(3661.167+(AVERAGE(AM39:AR39)))</f>
        <v>3147.6663333333336</v>
      </c>
      <c r="AS41" s="283">
        <f>AVERAGE(AM41:AR41)</f>
        <v>2677.9996666666671</v>
      </c>
      <c r="AU41" s="258" t="s">
        <v>76</v>
      </c>
      <c r="AV41" s="242">
        <f>AV38-(36980.5+(AVERAGE(AV39:BA39)))</f>
        <v>11992.333333333336</v>
      </c>
      <c r="AW41" s="228">
        <f>AW38-(36980.5+(AVERAGE(AV39:BA39)))</f>
        <v>18463.333333333336</v>
      </c>
      <c r="AX41" s="228">
        <f>AX38-(36980.5+(AVERAGE(AV39:BA39)))</f>
        <v>33612.333333333336</v>
      </c>
      <c r="AY41" s="228">
        <f>AY38-(36980.5+(AVERAGE(AV39:BA39)))</f>
        <v>35292.333333333336</v>
      </c>
      <c r="AZ41" s="228">
        <f>AZ38-(36980.5+(AVERAGE(AV39:BA39)))</f>
        <v>34312.333333333336</v>
      </c>
      <c r="BA41" s="259">
        <f>BA38-(36980.5+(AVERAGE(AV39:BA39)))</f>
        <v>33349.333333333336</v>
      </c>
      <c r="BB41" s="260">
        <f>AVERAGE(AV41:BA41)</f>
        <v>27837.000000000004</v>
      </c>
      <c r="BC41" s="242">
        <f>BC38-(36980.5+(AVERAGE(BC39:BH39)))</f>
        <v>19433.5</v>
      </c>
      <c r="BD41" s="228">
        <f>BD38-(36980.5+(AVERAGE(BC39:BH39)))</f>
        <v>44000.5</v>
      </c>
      <c r="BE41" s="228">
        <f>BE38-(36980.5+(AVERAGE(BC39:BH39)))</f>
        <v>54509.5</v>
      </c>
      <c r="BF41" s="228">
        <f>BF38-(36980.5+(AVERAGE(BC39:BH39)))</f>
        <v>52868.5</v>
      </c>
      <c r="BG41" s="228">
        <f>BG38-(36980.5+(AVERAGE(BC39:BH39)))</f>
        <v>55292.5</v>
      </c>
      <c r="BH41" s="259">
        <f>BH38-(36980.5+(AVERAGE(BC39:BH39)))</f>
        <v>52248.5</v>
      </c>
      <c r="BI41" s="231">
        <f>AVERAGE(BC41:BH41)</f>
        <v>46392.166666666664</v>
      </c>
      <c r="BJ41" s="242">
        <f>BJ38-(36980.5+(AVERAGE(BJ39:BO39)))</f>
        <v>25692.333333333336</v>
      </c>
      <c r="BK41" s="228">
        <f>BK38-(36980.5+(AVERAGE(BJ39:BO39)))</f>
        <v>38981.333333333336</v>
      </c>
      <c r="BL41" s="228">
        <f>BL38-(36980.5+(AVERAGE(BJ39:BO39)))</f>
        <v>35801.333333333336</v>
      </c>
      <c r="BM41" s="228">
        <f>BM38-(36980.5+(AVERAGE(BJ39:BO39)))</f>
        <v>30453.333333333336</v>
      </c>
      <c r="BN41" s="228">
        <f>BN38-(36980.5+(AVERAGE(BJ39:BO39)))</f>
        <v>39769.333333333336</v>
      </c>
      <c r="BO41" s="259">
        <f>BO38-(36980.5+(AVERAGE(BJ39:BO39)))</f>
        <v>40757.333333333336</v>
      </c>
      <c r="BP41" s="231">
        <f>AVERAGE(BJ41:BO41)</f>
        <v>35242.500000000007</v>
      </c>
      <c r="BR41" s="261" t="s">
        <v>76</v>
      </c>
      <c r="BS41" s="244">
        <f>BS38-(36980.5+(AVERAGE(BS39:BX39)))</f>
        <v>23762.333333333336</v>
      </c>
      <c r="BT41" s="234">
        <f>BT38-(36980.5+(AVERAGE(BS39:BX39)))</f>
        <v>15313.333333333336</v>
      </c>
      <c r="BU41" s="234">
        <f>BU38-(36980.5+(AVERAGE(BS39:BX39)))</f>
        <v>27416.333333333336</v>
      </c>
      <c r="BV41" s="234">
        <f>BV38-(36980.5+(AVERAGE(BS39:BX39)))</f>
        <v>20187.333333333336</v>
      </c>
      <c r="BW41" s="234">
        <f>BW38-(36980.5+(AVERAGE(BS39:BX39)))</f>
        <v>10554.333333333336</v>
      </c>
      <c r="BX41" s="262">
        <f>BX38-(36980.5+(AVERAGE(BS39:BX39)))</f>
        <v>5554.3333333333358</v>
      </c>
      <c r="BY41" s="263">
        <f>AVERAGE(BS41:BX41)</f>
        <v>17131.333333333339</v>
      </c>
      <c r="BZ41" s="244">
        <f>BZ38-(36980.5+(AVERAGE(BZ39:CE39)))</f>
        <v>41887.166666666664</v>
      </c>
      <c r="CA41" s="234">
        <f>CA38-(36980.5+(AVERAGE(BZ39:CE39)))</f>
        <v>36724.166666666664</v>
      </c>
      <c r="CB41" s="234">
        <f>CB38-(36980.5+(AVERAGE(BZ39:CE39)))</f>
        <v>45906.166666666664</v>
      </c>
      <c r="CC41" s="234">
        <f>CC38-(36980.5+(AVERAGE(BZ39:CE39)))</f>
        <v>40673.166666666664</v>
      </c>
      <c r="CD41" s="234">
        <f>CD38-(36980.5+(AVERAGE(BZ39:CE39)))</f>
        <v>19523.166666666664</v>
      </c>
      <c r="CE41" s="262">
        <f>CE38-(36980.5+(AVERAGE(BZ39:CE39)))</f>
        <v>17117.166666666664</v>
      </c>
      <c r="CF41" s="237">
        <f>AVERAGE(BZ41:CE41)</f>
        <v>33638.499999999993</v>
      </c>
      <c r="CG41" s="244">
        <f>CG38-(36980.5+(AVERAGE(CG39:CL39)))</f>
        <v>7693.5</v>
      </c>
      <c r="CH41" s="234">
        <f>CH38-(36980.5+(AVERAGE(CG39:CL39)))</f>
        <v>8634.5</v>
      </c>
      <c r="CI41" s="234">
        <f>CI38-(36980.5+(AVERAGE(CG39:CL39)))</f>
        <v>9093.5</v>
      </c>
      <c r="CJ41" s="234">
        <f>CJ38-(36980.5+(AVERAGE(CG39:CL39)))</f>
        <v>7098.5</v>
      </c>
      <c r="CK41" s="234">
        <f>CK38-(36980.5+(AVERAGE(CG39:CL39)))</f>
        <v>7743.5</v>
      </c>
      <c r="CL41" s="262">
        <f>CL38-(36980.5+(AVERAGE(CG39:CL39)))</f>
        <v>7512.5</v>
      </c>
      <c r="CM41" s="237">
        <f>AVERAGE(CG41:CL41)</f>
        <v>7962.666666666667</v>
      </c>
    </row>
    <row r="42" spans="1:91" ht="15.75" thickBot="1" x14ac:dyDescent="0.3">
      <c r="H42" s="291"/>
      <c r="I42" s="291"/>
      <c r="O42" s="291"/>
      <c r="P42" s="291"/>
      <c r="V42" s="291"/>
      <c r="AE42" s="291"/>
      <c r="AF42" s="291"/>
      <c r="AL42" s="291"/>
      <c r="AM42" s="291"/>
      <c r="AS42" s="291"/>
      <c r="BB42" s="291"/>
      <c r="BC42" s="291"/>
      <c r="BI42" s="291"/>
      <c r="BJ42" s="291"/>
      <c r="BP42" s="291"/>
      <c r="BY42" s="291"/>
      <c r="BZ42" s="291"/>
      <c r="CF42" s="291"/>
      <c r="CG42" s="291"/>
      <c r="CM42" s="291"/>
    </row>
    <row r="43" spans="1:91" x14ac:dyDescent="0.25">
      <c r="A43" s="638" t="s">
        <v>101</v>
      </c>
      <c r="B43" s="640" t="s">
        <v>69</v>
      </c>
      <c r="C43" s="641"/>
      <c r="D43" s="641"/>
      <c r="E43" s="641"/>
      <c r="F43" s="641"/>
      <c r="G43" s="642"/>
      <c r="H43" s="643"/>
      <c r="I43" s="640" t="s">
        <v>70</v>
      </c>
      <c r="J43" s="641"/>
      <c r="K43" s="641"/>
      <c r="L43" s="641"/>
      <c r="M43" s="641"/>
      <c r="N43" s="642"/>
      <c r="O43" s="643"/>
      <c r="P43" s="640" t="s">
        <v>71</v>
      </c>
      <c r="Q43" s="641"/>
      <c r="R43" s="641"/>
      <c r="S43" s="641"/>
      <c r="T43" s="641"/>
      <c r="U43" s="642"/>
      <c r="V43" s="643"/>
      <c r="X43" s="645" t="s">
        <v>102</v>
      </c>
      <c r="Y43" s="616" t="s">
        <v>69</v>
      </c>
      <c r="Z43" s="617"/>
      <c r="AA43" s="617"/>
      <c r="AB43" s="617"/>
      <c r="AC43" s="617"/>
      <c r="AD43" s="635"/>
      <c r="AE43" s="636"/>
      <c r="AF43" s="616" t="s">
        <v>70</v>
      </c>
      <c r="AG43" s="617"/>
      <c r="AH43" s="617"/>
      <c r="AI43" s="617"/>
      <c r="AJ43" s="617"/>
      <c r="AK43" s="635"/>
      <c r="AL43" s="636"/>
      <c r="AM43" s="616" t="s">
        <v>71</v>
      </c>
      <c r="AN43" s="617"/>
      <c r="AO43" s="617"/>
      <c r="AP43" s="617"/>
      <c r="AQ43" s="617"/>
      <c r="AR43" s="635"/>
      <c r="AS43" s="636"/>
      <c r="AU43" s="650" t="s">
        <v>87</v>
      </c>
      <c r="AV43" s="607" t="s">
        <v>69</v>
      </c>
      <c r="AW43" s="608"/>
      <c r="AX43" s="608"/>
      <c r="AY43" s="608"/>
      <c r="AZ43" s="608"/>
      <c r="BA43" s="655"/>
      <c r="BB43" s="653" t="s">
        <v>52</v>
      </c>
      <c r="BC43" s="607" t="s">
        <v>70</v>
      </c>
      <c r="BD43" s="608"/>
      <c r="BE43" s="608"/>
      <c r="BF43" s="608"/>
      <c r="BG43" s="608"/>
      <c r="BH43" s="655"/>
      <c r="BI43" s="653" t="s">
        <v>52</v>
      </c>
      <c r="BJ43" s="607" t="s">
        <v>71</v>
      </c>
      <c r="BK43" s="608"/>
      <c r="BL43" s="608"/>
      <c r="BM43" s="608"/>
      <c r="BN43" s="608"/>
      <c r="BO43" s="655"/>
      <c r="BP43" s="653" t="s">
        <v>52</v>
      </c>
      <c r="BR43" s="511" t="s">
        <v>88</v>
      </c>
      <c r="BS43" s="623" t="s">
        <v>69</v>
      </c>
      <c r="BT43" s="624"/>
      <c r="BU43" s="624"/>
      <c r="BV43" s="624"/>
      <c r="BW43" s="624"/>
      <c r="BX43" s="658"/>
      <c r="BY43" s="656" t="s">
        <v>52</v>
      </c>
      <c r="BZ43" s="623" t="s">
        <v>70</v>
      </c>
      <c r="CA43" s="624"/>
      <c r="CB43" s="624"/>
      <c r="CC43" s="624"/>
      <c r="CD43" s="624"/>
      <c r="CE43" s="658"/>
      <c r="CF43" s="656" t="s">
        <v>52</v>
      </c>
      <c r="CG43" s="623" t="s">
        <v>71</v>
      </c>
      <c r="CH43" s="624"/>
      <c r="CI43" s="624"/>
      <c r="CJ43" s="624"/>
      <c r="CK43" s="624"/>
      <c r="CL43" s="658"/>
      <c r="CM43" s="656" t="s">
        <v>52</v>
      </c>
    </row>
    <row r="44" spans="1:91" ht="15.75" thickBot="1" x14ac:dyDescent="0.3">
      <c r="A44" s="639"/>
      <c r="B44" s="363">
        <v>1</v>
      </c>
      <c r="C44" s="344">
        <v>2</v>
      </c>
      <c r="D44" s="344">
        <v>3</v>
      </c>
      <c r="E44" s="344">
        <v>4</v>
      </c>
      <c r="F44" s="344">
        <v>5</v>
      </c>
      <c r="G44" s="345">
        <v>6</v>
      </c>
      <c r="H44" s="644"/>
      <c r="I44" s="343">
        <v>1</v>
      </c>
      <c r="J44" s="344">
        <v>2</v>
      </c>
      <c r="K44" s="344">
        <v>3</v>
      </c>
      <c r="L44" s="344">
        <v>4</v>
      </c>
      <c r="M44" s="344">
        <v>5</v>
      </c>
      <c r="N44" s="345">
        <v>6</v>
      </c>
      <c r="O44" s="644"/>
      <c r="P44" s="343">
        <v>1</v>
      </c>
      <c r="Q44" s="344">
        <v>2</v>
      </c>
      <c r="R44" s="344">
        <v>3</v>
      </c>
      <c r="S44" s="344">
        <v>4</v>
      </c>
      <c r="T44" s="344">
        <v>5</v>
      </c>
      <c r="U44" s="346">
        <v>6</v>
      </c>
      <c r="V44" s="644"/>
      <c r="X44" s="646"/>
      <c r="Y44" s="158">
        <v>1</v>
      </c>
      <c r="Z44" s="159">
        <v>2</v>
      </c>
      <c r="AA44" s="159">
        <v>3</v>
      </c>
      <c r="AB44" s="159">
        <v>4</v>
      </c>
      <c r="AC44" s="159">
        <v>5</v>
      </c>
      <c r="AD44" s="266">
        <v>6</v>
      </c>
      <c r="AE44" s="637"/>
      <c r="AF44" s="160">
        <v>1</v>
      </c>
      <c r="AG44" s="159">
        <v>2</v>
      </c>
      <c r="AH44" s="159">
        <v>3</v>
      </c>
      <c r="AI44" s="159">
        <v>4</v>
      </c>
      <c r="AJ44" s="159">
        <v>5</v>
      </c>
      <c r="AK44" s="266">
        <v>6</v>
      </c>
      <c r="AL44" s="637"/>
      <c r="AM44" s="160">
        <v>1</v>
      </c>
      <c r="AN44" s="159">
        <v>2</v>
      </c>
      <c r="AO44" s="159">
        <v>3</v>
      </c>
      <c r="AP44" s="159">
        <v>4</v>
      </c>
      <c r="AQ44" s="159">
        <v>5</v>
      </c>
      <c r="AR44" s="267">
        <v>6</v>
      </c>
      <c r="AS44" s="637"/>
      <c r="AU44" s="651"/>
      <c r="AV44" s="88">
        <v>1</v>
      </c>
      <c r="AW44" s="89">
        <v>2</v>
      </c>
      <c r="AX44" s="89">
        <v>3</v>
      </c>
      <c r="AY44" s="89">
        <v>4</v>
      </c>
      <c r="AZ44" s="89">
        <v>5</v>
      </c>
      <c r="BA44" s="97">
        <v>6</v>
      </c>
      <c r="BB44" s="654"/>
      <c r="BC44" s="91">
        <v>1</v>
      </c>
      <c r="BD44" s="89">
        <v>2</v>
      </c>
      <c r="BE44" s="89">
        <v>3</v>
      </c>
      <c r="BF44" s="89">
        <v>4</v>
      </c>
      <c r="BG44" s="89">
        <v>5</v>
      </c>
      <c r="BH44" s="97">
        <v>6</v>
      </c>
      <c r="BI44" s="654"/>
      <c r="BJ44" s="91">
        <v>1</v>
      </c>
      <c r="BK44" s="89">
        <v>2</v>
      </c>
      <c r="BL44" s="89">
        <v>3</v>
      </c>
      <c r="BM44" s="89">
        <v>4</v>
      </c>
      <c r="BN44" s="89">
        <v>5</v>
      </c>
      <c r="BO44" s="200">
        <v>6</v>
      </c>
      <c r="BP44" s="654"/>
      <c r="BR44" s="512"/>
      <c r="BS44" s="115">
        <v>1</v>
      </c>
      <c r="BT44" s="116">
        <v>2</v>
      </c>
      <c r="BU44" s="116">
        <v>3</v>
      </c>
      <c r="BV44" s="116">
        <v>4</v>
      </c>
      <c r="BW44" s="116">
        <v>5</v>
      </c>
      <c r="BX44" s="117">
        <v>6</v>
      </c>
      <c r="BY44" s="657"/>
      <c r="BZ44" s="118">
        <v>1</v>
      </c>
      <c r="CA44" s="116">
        <v>2</v>
      </c>
      <c r="CB44" s="116">
        <v>3</v>
      </c>
      <c r="CC44" s="116">
        <v>4</v>
      </c>
      <c r="CD44" s="116">
        <v>5</v>
      </c>
      <c r="CE44" s="117">
        <v>6</v>
      </c>
      <c r="CF44" s="657"/>
      <c r="CG44" s="118">
        <v>1</v>
      </c>
      <c r="CH44" s="116">
        <v>2</v>
      </c>
      <c r="CI44" s="116">
        <v>3</v>
      </c>
      <c r="CJ44" s="116">
        <v>4</v>
      </c>
      <c r="CK44" s="116">
        <v>5</v>
      </c>
      <c r="CL44" s="201">
        <v>6</v>
      </c>
      <c r="CM44" s="657"/>
    </row>
    <row r="45" spans="1:91" x14ac:dyDescent="0.25">
      <c r="A45" s="351" t="s">
        <v>73</v>
      </c>
      <c r="B45" s="348">
        <v>31936</v>
      </c>
      <c r="C45" s="349">
        <v>35931</v>
      </c>
      <c r="D45" s="349">
        <v>44418</v>
      </c>
      <c r="E45" s="349">
        <v>42599</v>
      </c>
      <c r="F45" s="349">
        <v>67484</v>
      </c>
      <c r="G45" s="350">
        <v>34636</v>
      </c>
      <c r="H45" s="351">
        <f>AVERAGE(B45:G45)</f>
        <v>42834</v>
      </c>
      <c r="I45" s="352">
        <v>11814</v>
      </c>
      <c r="J45" s="349">
        <v>11111</v>
      </c>
      <c r="K45" s="349">
        <v>13893</v>
      </c>
      <c r="L45" s="349">
        <v>14556</v>
      </c>
      <c r="M45" s="349">
        <v>22992</v>
      </c>
      <c r="N45" s="350">
        <v>15230</v>
      </c>
      <c r="O45" s="351">
        <f>AVERAGE(I45:N45)</f>
        <v>14932.666666666666</v>
      </c>
      <c r="P45" s="352">
        <v>32467</v>
      </c>
      <c r="Q45" s="349">
        <v>34851</v>
      </c>
      <c r="R45" s="349">
        <v>41262</v>
      </c>
      <c r="S45" s="349">
        <v>32324</v>
      </c>
      <c r="T45" s="349">
        <v>43243</v>
      </c>
      <c r="U45" s="353">
        <v>21666</v>
      </c>
      <c r="V45" s="351">
        <f>AVERAGE(P45:U45)</f>
        <v>34302.166666666664</v>
      </c>
      <c r="X45" s="161" t="s">
        <v>73</v>
      </c>
      <c r="Y45" s="150">
        <v>19124</v>
      </c>
      <c r="Z45" s="151">
        <v>15012</v>
      </c>
      <c r="AA45" s="151">
        <v>19082</v>
      </c>
      <c r="AB45" s="151">
        <v>18507</v>
      </c>
      <c r="AC45" s="151">
        <v>14658</v>
      </c>
      <c r="AD45" s="270">
        <v>15218</v>
      </c>
      <c r="AE45" s="161">
        <f>AVERAGE(Y45:AD45)</f>
        <v>16933.5</v>
      </c>
      <c r="AF45" s="152">
        <v>20135</v>
      </c>
      <c r="AG45" s="151">
        <v>18745</v>
      </c>
      <c r="AH45" s="151">
        <v>19858</v>
      </c>
      <c r="AI45" s="151">
        <v>21939</v>
      </c>
      <c r="AJ45" s="151">
        <v>18099</v>
      </c>
      <c r="AK45" s="270">
        <v>15125</v>
      </c>
      <c r="AL45" s="161">
        <f>AVERAGE(AF45:AK45)</f>
        <v>18983.5</v>
      </c>
      <c r="AM45" s="152">
        <v>10015</v>
      </c>
      <c r="AN45" s="151">
        <v>6520</v>
      </c>
      <c r="AO45" s="151">
        <v>11182</v>
      </c>
      <c r="AP45" s="151">
        <v>10429</v>
      </c>
      <c r="AQ45" s="151">
        <v>11031</v>
      </c>
      <c r="AR45" s="185">
        <v>16074</v>
      </c>
      <c r="AS45" s="161">
        <f>AVERAGE(AM45:AR45)</f>
        <v>10875.166666666666</v>
      </c>
      <c r="AU45" s="29" t="s">
        <v>73</v>
      </c>
      <c r="AV45" s="203">
        <v>47992</v>
      </c>
      <c r="AW45" s="204">
        <v>58385</v>
      </c>
      <c r="AX45" s="204">
        <v>60299</v>
      </c>
      <c r="AY45" s="204">
        <v>60577</v>
      </c>
      <c r="AZ45" s="204">
        <v>59860</v>
      </c>
      <c r="BA45" s="205">
        <v>64384</v>
      </c>
      <c r="BB45" s="29">
        <f>AVERAGE(AV45:BA45)</f>
        <v>58582.833333333336</v>
      </c>
      <c r="BC45" s="206">
        <v>50607</v>
      </c>
      <c r="BD45" s="204">
        <v>68831</v>
      </c>
      <c r="BE45" s="204">
        <v>75590</v>
      </c>
      <c r="BF45" s="204">
        <v>77042</v>
      </c>
      <c r="BG45" s="204">
        <v>76856</v>
      </c>
      <c r="BH45" s="205">
        <v>65024</v>
      </c>
      <c r="BI45" s="29">
        <f>AVERAGE(BC45:BH45)</f>
        <v>68991.666666666672</v>
      </c>
      <c r="BJ45" s="206">
        <v>53861</v>
      </c>
      <c r="BK45" s="204">
        <v>66666</v>
      </c>
      <c r="BL45" s="204">
        <v>70650</v>
      </c>
      <c r="BM45" s="204">
        <v>72084</v>
      </c>
      <c r="BN45" s="204">
        <v>69519</v>
      </c>
      <c r="BO45" s="207">
        <v>59692</v>
      </c>
      <c r="BP45" s="29">
        <f>AVERAGE(BJ45:BO45)</f>
        <v>65412</v>
      </c>
      <c r="BR45" s="51" t="s">
        <v>73</v>
      </c>
      <c r="BS45" s="107">
        <v>58501</v>
      </c>
      <c r="BT45" s="108">
        <v>56323</v>
      </c>
      <c r="BU45" s="108">
        <v>54563</v>
      </c>
      <c r="BV45" s="108">
        <v>47386</v>
      </c>
      <c r="BW45" s="108">
        <v>43832</v>
      </c>
      <c r="BX45" s="109">
        <v>43154</v>
      </c>
      <c r="BY45" s="51">
        <f>AVERAGE(BS45:BX45)</f>
        <v>50626.5</v>
      </c>
      <c r="BZ45" s="110">
        <v>64300</v>
      </c>
      <c r="CA45" s="108">
        <v>60108</v>
      </c>
      <c r="CB45" s="108">
        <v>55281</v>
      </c>
      <c r="CC45" s="108">
        <v>57466</v>
      </c>
      <c r="CD45" s="108">
        <v>60708</v>
      </c>
      <c r="CE45" s="109">
        <v>55913</v>
      </c>
      <c r="CF45" s="51">
        <f>AVERAGE(BZ45:CE45)</f>
        <v>58962.666666666664</v>
      </c>
      <c r="CG45" s="110">
        <v>44693</v>
      </c>
      <c r="CH45" s="108">
        <v>47285</v>
      </c>
      <c r="CI45" s="108">
        <v>47356</v>
      </c>
      <c r="CJ45" s="108">
        <v>41987</v>
      </c>
      <c r="CK45" s="108">
        <v>40966</v>
      </c>
      <c r="CL45" s="209">
        <v>44371</v>
      </c>
      <c r="CM45" s="51">
        <f>AVERAGE(CG45:CL45)</f>
        <v>44443</v>
      </c>
    </row>
    <row r="46" spans="1:91" x14ac:dyDescent="0.25">
      <c r="A46" s="171" t="s">
        <v>74</v>
      </c>
      <c r="B46" s="355">
        <v>74</v>
      </c>
      <c r="C46" s="356">
        <v>69</v>
      </c>
      <c r="D46" s="356">
        <v>81</v>
      </c>
      <c r="E46" s="356">
        <v>75</v>
      </c>
      <c r="F46" s="356">
        <v>79</v>
      </c>
      <c r="G46" s="364">
        <v>84</v>
      </c>
      <c r="H46" s="359">
        <f>AVERAGE(B46:G46)</f>
        <v>77</v>
      </c>
      <c r="I46" s="372">
        <v>78</v>
      </c>
      <c r="J46" s="356">
        <v>73</v>
      </c>
      <c r="K46" s="356">
        <v>74</v>
      </c>
      <c r="L46" s="356">
        <v>78</v>
      </c>
      <c r="M46" s="356">
        <v>71</v>
      </c>
      <c r="N46" s="364">
        <v>80</v>
      </c>
      <c r="O46" s="359">
        <f>AVERAGE(I46:N46)</f>
        <v>75.666666666666671</v>
      </c>
      <c r="P46" s="372">
        <v>78</v>
      </c>
      <c r="Q46" s="356">
        <v>70</v>
      </c>
      <c r="R46" s="356">
        <v>74</v>
      </c>
      <c r="S46" s="356">
        <v>78</v>
      </c>
      <c r="T46" s="356">
        <v>79</v>
      </c>
      <c r="U46" s="373">
        <v>79</v>
      </c>
      <c r="V46" s="359">
        <f>AVERAGE(P46:U46)</f>
        <v>76.333333333333329</v>
      </c>
      <c r="X46" s="162" t="s">
        <v>74</v>
      </c>
      <c r="Y46" s="154">
        <v>86</v>
      </c>
      <c r="Z46" s="155">
        <v>74</v>
      </c>
      <c r="AA46" s="155">
        <v>71</v>
      </c>
      <c r="AB46" s="155">
        <v>67</v>
      </c>
      <c r="AC46" s="155">
        <v>82</v>
      </c>
      <c r="AD46" s="285">
        <v>75</v>
      </c>
      <c r="AE46" s="275">
        <f>AVERAGE(Y46:AD46)</f>
        <v>75.833333333333329</v>
      </c>
      <c r="AF46" s="156">
        <v>70</v>
      </c>
      <c r="AG46" s="155">
        <v>83</v>
      </c>
      <c r="AH46" s="155">
        <v>86</v>
      </c>
      <c r="AI46" s="155">
        <v>76</v>
      </c>
      <c r="AJ46" s="155">
        <v>80</v>
      </c>
      <c r="AK46" s="285">
        <v>70</v>
      </c>
      <c r="AL46" s="275">
        <f>AVERAGE(AF46:AK46)</f>
        <v>77.5</v>
      </c>
      <c r="AM46" s="156">
        <v>80</v>
      </c>
      <c r="AN46" s="155">
        <v>69</v>
      </c>
      <c r="AO46" s="155">
        <v>79</v>
      </c>
      <c r="AP46" s="155">
        <v>71</v>
      </c>
      <c r="AQ46" s="155">
        <v>82</v>
      </c>
      <c r="AR46" s="187">
        <v>70</v>
      </c>
      <c r="AS46" s="275">
        <f>AVERAGE(AM46:AR46)</f>
        <v>75.166666666666671</v>
      </c>
      <c r="AU46" s="36" t="s">
        <v>74</v>
      </c>
      <c r="AV46" s="87">
        <v>58</v>
      </c>
      <c r="AW46" s="86">
        <v>53</v>
      </c>
      <c r="AX46" s="86">
        <v>59</v>
      </c>
      <c r="AY46" s="86">
        <v>45</v>
      </c>
      <c r="AZ46" s="86">
        <v>48</v>
      </c>
      <c r="BA46" s="96">
        <v>56</v>
      </c>
      <c r="BB46" s="213">
        <f>AVERAGE(AV46:BA46)</f>
        <v>53.166666666666664</v>
      </c>
      <c r="BC46" s="90">
        <v>49</v>
      </c>
      <c r="BD46" s="86">
        <v>51</v>
      </c>
      <c r="BE46" s="86">
        <v>54</v>
      </c>
      <c r="BF46" s="86">
        <v>43</v>
      </c>
      <c r="BG46" s="86">
        <v>60</v>
      </c>
      <c r="BH46" s="96">
        <v>50</v>
      </c>
      <c r="BI46" s="213">
        <f>AVERAGE(BC46:BH46)</f>
        <v>51.166666666666664</v>
      </c>
      <c r="BJ46" s="90">
        <v>51</v>
      </c>
      <c r="BK46" s="86">
        <v>57</v>
      </c>
      <c r="BL46" s="86">
        <v>48</v>
      </c>
      <c r="BM46" s="86">
        <v>60</v>
      </c>
      <c r="BN46" s="86">
        <v>48</v>
      </c>
      <c r="BO46" s="240">
        <v>60</v>
      </c>
      <c r="BP46" s="213">
        <f>AVERAGE(BJ46:BO46)</f>
        <v>54</v>
      </c>
      <c r="BR46" s="60" t="s">
        <v>74</v>
      </c>
      <c r="BS46" s="112">
        <v>63</v>
      </c>
      <c r="BT46" s="2">
        <v>74</v>
      </c>
      <c r="BU46" s="2">
        <v>79</v>
      </c>
      <c r="BV46" s="2">
        <v>60</v>
      </c>
      <c r="BW46" s="2">
        <v>69</v>
      </c>
      <c r="BX46" s="113">
        <v>72</v>
      </c>
      <c r="BY46" s="219">
        <f>AVERAGE(BS46:BX46)</f>
        <v>69.5</v>
      </c>
      <c r="BZ46" s="10">
        <v>60</v>
      </c>
      <c r="CA46" s="2">
        <v>65</v>
      </c>
      <c r="CB46" s="2">
        <v>59</v>
      </c>
      <c r="CC46" s="2">
        <v>59</v>
      </c>
      <c r="CD46" s="2">
        <v>63</v>
      </c>
      <c r="CE46" s="113">
        <v>66</v>
      </c>
      <c r="CF46" s="219">
        <f>AVERAGE(BZ46:CE46)</f>
        <v>62</v>
      </c>
      <c r="CG46" s="10">
        <v>70</v>
      </c>
      <c r="CH46" s="2">
        <v>60</v>
      </c>
      <c r="CI46" s="2">
        <v>63</v>
      </c>
      <c r="CJ46" s="2">
        <v>67</v>
      </c>
      <c r="CK46" s="2">
        <v>57</v>
      </c>
      <c r="CL46" s="241">
        <v>70</v>
      </c>
      <c r="CM46" s="219">
        <f>AVERAGE(CG46:CL46)</f>
        <v>64.5</v>
      </c>
    </row>
    <row r="47" spans="1:91" ht="15.75" thickBot="1" x14ac:dyDescent="0.3">
      <c r="A47" s="177" t="s">
        <v>75</v>
      </c>
      <c r="B47" s="363">
        <v>3739</v>
      </c>
      <c r="C47" s="344">
        <v>3705</v>
      </c>
      <c r="D47" s="364">
        <v>3656</v>
      </c>
      <c r="E47" s="327">
        <v>3745</v>
      </c>
      <c r="F47" s="327">
        <v>3743</v>
      </c>
      <c r="G47" s="327">
        <v>3705</v>
      </c>
      <c r="H47" s="171"/>
      <c r="I47" s="327"/>
      <c r="J47" s="327"/>
      <c r="K47" s="327"/>
      <c r="L47" s="327"/>
      <c r="M47" s="327"/>
      <c r="N47" s="327"/>
      <c r="O47" s="171"/>
      <c r="P47" s="327"/>
      <c r="Q47" s="327"/>
      <c r="R47" s="327"/>
      <c r="S47" s="327"/>
      <c r="T47" s="327"/>
      <c r="U47" s="365"/>
      <c r="V47" s="171">
        <f>AVERAGE(B47:G47)</f>
        <v>3715.5</v>
      </c>
      <c r="X47" s="163" t="s">
        <v>75</v>
      </c>
      <c r="Y47" s="158">
        <v>3739</v>
      </c>
      <c r="Z47" s="159">
        <v>3705</v>
      </c>
      <c r="AA47" s="285">
        <v>3656</v>
      </c>
      <c r="AB47" s="286">
        <v>3745</v>
      </c>
      <c r="AC47" s="286">
        <v>3743</v>
      </c>
      <c r="AD47" s="286">
        <v>3705</v>
      </c>
      <c r="AE47" s="162"/>
      <c r="AF47" s="286"/>
      <c r="AG47" s="286"/>
      <c r="AH47" s="286"/>
      <c r="AI47" s="286"/>
      <c r="AJ47" s="286"/>
      <c r="AK47" s="286"/>
      <c r="AL47" s="162"/>
      <c r="AM47" s="286"/>
      <c r="AN47" s="286"/>
      <c r="AO47" s="286"/>
      <c r="AP47" s="286"/>
      <c r="AQ47" s="286"/>
      <c r="AR47" s="287"/>
      <c r="AS47" s="162">
        <f>AVERAGE(Y47:AD47)</f>
        <v>3715.5</v>
      </c>
      <c r="AU47" s="38" t="s">
        <v>75</v>
      </c>
      <c r="AV47" s="88">
        <v>36531</v>
      </c>
      <c r="AW47" s="89">
        <v>36287</v>
      </c>
      <c r="AX47" s="96"/>
      <c r="AY47" s="37"/>
      <c r="AZ47" s="37"/>
      <c r="BA47" s="37"/>
      <c r="BB47" s="36"/>
      <c r="BC47" s="37"/>
      <c r="BD47" s="37"/>
      <c r="BE47" s="37"/>
      <c r="BF47" s="37"/>
      <c r="BG47" s="37"/>
      <c r="BH47" s="37"/>
      <c r="BI47" s="36"/>
      <c r="BJ47" s="37"/>
      <c r="BK47" s="37"/>
      <c r="BL47" s="37"/>
      <c r="BM47" s="37"/>
      <c r="BN47" s="37"/>
      <c r="BO47" s="223"/>
      <c r="BP47" s="36">
        <f>AVERAGE(AV47:AW47)</f>
        <v>36409</v>
      </c>
      <c r="BR47" s="63" t="s">
        <v>75</v>
      </c>
      <c r="BS47" s="115">
        <v>36531</v>
      </c>
      <c r="BT47" s="116">
        <v>36287</v>
      </c>
      <c r="BU47" s="113"/>
      <c r="BV47" s="59"/>
      <c r="BW47" s="59"/>
      <c r="BX47" s="59"/>
      <c r="BY47" s="60"/>
      <c r="BZ47" s="59"/>
      <c r="CA47" s="59"/>
      <c r="CB47" s="59"/>
      <c r="CC47" s="59"/>
      <c r="CD47" s="59"/>
      <c r="CE47" s="59"/>
      <c r="CF47" s="60"/>
      <c r="CG47" s="59"/>
      <c r="CH47" s="59"/>
      <c r="CI47" s="59"/>
      <c r="CJ47" s="59"/>
      <c r="CK47" s="59"/>
      <c r="CL47" s="225"/>
      <c r="CM47" s="60">
        <f>AVERAGE(BS47:BT47)</f>
        <v>36409</v>
      </c>
    </row>
    <row r="48" spans="1:91" ht="15.75" thickBot="1" x14ac:dyDescent="0.3">
      <c r="A48" s="366" t="s">
        <v>76</v>
      </c>
      <c r="B48" s="374">
        <f>B45-(3715.5+(AVERAGE(B46:G46)))</f>
        <v>28143.5</v>
      </c>
      <c r="C48" s="368">
        <f>C45-(3715.5+(AVERAGE(B46:G46)))</f>
        <v>32138.5</v>
      </c>
      <c r="D48" s="368">
        <f>D45-(3715.5+(AVERAGE(B46:G46)))</f>
        <v>40625.5</v>
      </c>
      <c r="E48" s="368">
        <f>E45-(3715.5+(AVERAGE(B46:G46)))</f>
        <v>38806.5</v>
      </c>
      <c r="F48" s="368">
        <f>F45-(3715.5+(AVERAGE(B46:G46)))</f>
        <v>63691.5</v>
      </c>
      <c r="G48" s="375">
        <f>G45-(3715.5+(AVERAGE(B46:G46)))</f>
        <v>30843.5</v>
      </c>
      <c r="H48" s="371">
        <f>AVERAGE(B48:G48)</f>
        <v>39041.5</v>
      </c>
      <c r="I48" s="374">
        <f>I45-(3715.5+(AVERAGE(I46:N46)))</f>
        <v>8022.8333333333339</v>
      </c>
      <c r="J48" s="368">
        <f>J45-(3715.5+(AVERAGE(I46:N46)))</f>
        <v>7319.8333333333339</v>
      </c>
      <c r="K48" s="368">
        <f>K45-(3715.5+(AVERAGE(I46:N46)))</f>
        <v>10101.833333333334</v>
      </c>
      <c r="L48" s="368">
        <f>L45-(3715.5+(AVERAGE(I46:N46)))</f>
        <v>10764.833333333334</v>
      </c>
      <c r="M48" s="368">
        <f>M45-(3715.5+(AVERAGE(I46:N46)))</f>
        <v>19200.833333333332</v>
      </c>
      <c r="N48" s="375">
        <f>N45-(3715.5+(AVERAGE(I46:N46)))</f>
        <v>11438.833333333334</v>
      </c>
      <c r="O48" s="371">
        <f>AVERAGE(I48:N48)</f>
        <v>11141.5</v>
      </c>
      <c r="P48" s="374">
        <f>P45-(3715.5+(AVERAGE(P46:U46)))</f>
        <v>28675.166666666668</v>
      </c>
      <c r="Q48" s="368">
        <f>Q45-(3715.5+(AVERAGE(P46:U46)))</f>
        <v>31059.166666666668</v>
      </c>
      <c r="R48" s="368">
        <f>R45-(3715.5+(AVERAGE(P46:U46)))</f>
        <v>37470.166666666664</v>
      </c>
      <c r="S48" s="368">
        <f>S45-(3715.5+(AVERAGE(P46:U46)))</f>
        <v>28532.166666666668</v>
      </c>
      <c r="T48" s="368">
        <f>T45-(3715.5+(AVERAGE(P46:U46)))</f>
        <v>39451.166666666664</v>
      </c>
      <c r="U48" s="375">
        <f>U45-(3715.5+(AVERAGE(P46:U46)))</f>
        <v>17874.166666666668</v>
      </c>
      <c r="V48" s="371">
        <f>AVERAGE(P48:U48)</f>
        <v>30510.333333333332</v>
      </c>
      <c r="X48" s="277" t="s">
        <v>76</v>
      </c>
      <c r="Y48" s="278">
        <f>Y45-(3715.5+(AVERAGE(Y46:AD46)))</f>
        <v>15332.666666666666</v>
      </c>
      <c r="Z48" s="279">
        <f>Z45-(3715.5+(AVERAGE(Y46:AD46)))</f>
        <v>11220.666666666666</v>
      </c>
      <c r="AA48" s="279">
        <f>AA45-(3715.5+(AVERAGE(Y46:AD46)))</f>
        <v>15290.666666666666</v>
      </c>
      <c r="AB48" s="279">
        <f>AB45-(3715.5+(AVERAGE(Y46:AD46)))</f>
        <v>14715.666666666666</v>
      </c>
      <c r="AC48" s="279">
        <f>AC45-(3715.5+(AVERAGE(Y46:AD46)))</f>
        <v>10866.666666666666</v>
      </c>
      <c r="AD48" s="280">
        <f>AD45-(3715.5+(AVERAGE(Y46:AD46)))</f>
        <v>11426.666666666666</v>
      </c>
      <c r="AE48" s="283">
        <f>AVERAGE(Y48:AD48)</f>
        <v>13142.166666666666</v>
      </c>
      <c r="AF48" s="278">
        <f>AF45-(3715.5+(AVERAGE(AF46:AK46)))</f>
        <v>16342</v>
      </c>
      <c r="AG48" s="279">
        <f>AG45-(3715.5+(AVERAGE(AF46:AK46)))</f>
        <v>14952</v>
      </c>
      <c r="AH48" s="279">
        <f>AH45-(3715.5+(AVERAGE(AF46:AK46)))</f>
        <v>16065</v>
      </c>
      <c r="AI48" s="279">
        <f>AI45-(3715.5+(AVERAGE(AF46:AK46)))</f>
        <v>18146</v>
      </c>
      <c r="AJ48" s="279">
        <f>AJ45-(3715.5+(AVERAGE(AF46:AK46)))</f>
        <v>14306</v>
      </c>
      <c r="AK48" s="280">
        <f>AK45-(3715.5+(AVERAGE(AF46:AK46)))</f>
        <v>11332</v>
      </c>
      <c r="AL48" s="283">
        <f>AVERAGE(AF48:AK48)</f>
        <v>15190.5</v>
      </c>
      <c r="AM48" s="278">
        <f>AM45-(3715.5+(AVERAGE(AM46:AR46)))</f>
        <v>6224.3333333333339</v>
      </c>
      <c r="AN48" s="279">
        <f>AN45-(3715.5+(AVERAGE(AM46:AR46)))</f>
        <v>2729.3333333333335</v>
      </c>
      <c r="AO48" s="279">
        <f>AO45-(3715.5+(AVERAGE(AM46:AR46)))</f>
        <v>7391.3333333333339</v>
      </c>
      <c r="AP48" s="279">
        <f>AP45-(3715.5+(AVERAGE(AM46:AR46)))</f>
        <v>6638.3333333333339</v>
      </c>
      <c r="AQ48" s="279">
        <f>AQ45-(3715.5+(AVERAGE(AM46:AR46)))</f>
        <v>7240.3333333333339</v>
      </c>
      <c r="AR48" s="280">
        <f>AR45-(3715.5+(AVERAGE(AM46:AR46)))</f>
        <v>12283.333333333334</v>
      </c>
      <c r="AS48" s="283">
        <f>AVERAGE(AM48:AR48)</f>
        <v>7084.5000000000009</v>
      </c>
      <c r="AU48" s="226" t="s">
        <v>76</v>
      </c>
      <c r="AV48" s="242">
        <f>AV45-(36409+(AVERAGE(AV46:BA46)))</f>
        <v>11529.833333333336</v>
      </c>
      <c r="AW48" s="228">
        <f>AW45-(36409+(AVERAGE(AV46:BA46)))</f>
        <v>21922.833333333336</v>
      </c>
      <c r="AX48" s="228">
        <f>AX45-(36409+(AVERAGE(AV46:BA46)))</f>
        <v>23836.833333333336</v>
      </c>
      <c r="AY48" s="228">
        <f>AY45-(36409+(AVERAGE(AV46:BA46)))</f>
        <v>24114.833333333336</v>
      </c>
      <c r="AZ48" s="228">
        <f>AZ45-(36409+(AVERAGE(AV46:BA46)))</f>
        <v>23397.833333333336</v>
      </c>
      <c r="BA48" s="243">
        <f>BA45-(36409+(AVERAGE(AV46:BA46)))</f>
        <v>27921.833333333336</v>
      </c>
      <c r="BB48" s="231">
        <f>AVERAGE(AV48:BA48)</f>
        <v>22120.666666666672</v>
      </c>
      <c r="BC48" s="242">
        <f>BC45-(36409+(AVERAGE(BC46:BH46)))</f>
        <v>14146.833333333336</v>
      </c>
      <c r="BD48" s="228">
        <f>BD45-(36409+(AVERAGE(BC46:BH46)))</f>
        <v>32370.833333333336</v>
      </c>
      <c r="BE48" s="228">
        <f>BE45-(36409+(AVERAGE(BC46:BH46)))</f>
        <v>39129.833333333336</v>
      </c>
      <c r="BF48" s="228">
        <f>BF45-(36409+(AVERAGE(BC46:BH46)))</f>
        <v>40581.833333333336</v>
      </c>
      <c r="BG48" s="228">
        <f>BG45-(36409+(AVERAGE(BC46:BH46)))</f>
        <v>40395.833333333336</v>
      </c>
      <c r="BH48" s="243">
        <f>BH45-(36409+(AVERAGE(BC46:BH46)))</f>
        <v>28563.833333333336</v>
      </c>
      <c r="BI48" s="231">
        <f>AVERAGE(BC48:BH48)</f>
        <v>32531.500000000004</v>
      </c>
      <c r="BJ48" s="242">
        <f>BJ45-(36409+(AVERAGE(BJ46:BO46)))</f>
        <v>17398</v>
      </c>
      <c r="BK48" s="228">
        <f>BK45-(36409+(AVERAGE(BJ46:BO46)))</f>
        <v>30203</v>
      </c>
      <c r="BL48" s="228">
        <f>BL45-(36409+(AVERAGE(BJ46:BO46)))</f>
        <v>34187</v>
      </c>
      <c r="BM48" s="228">
        <f>BM45-(36409+(AVERAGE(BJ46:BO46)))</f>
        <v>35621</v>
      </c>
      <c r="BN48" s="228">
        <f>BN45-(36409+(AVERAGE(BJ46:BO46)))</f>
        <v>33056</v>
      </c>
      <c r="BO48" s="243">
        <f>BO45-(36409+(AVERAGE(BJ46:BO46)))</f>
        <v>23229</v>
      </c>
      <c r="BP48" s="231">
        <f>AVERAGE(BJ48:BO48)</f>
        <v>28949</v>
      </c>
      <c r="BR48" s="232" t="s">
        <v>76</v>
      </c>
      <c r="BS48" s="244">
        <f>BS45-(36409+(AVERAGE(BS46:BX46)))</f>
        <v>22022.5</v>
      </c>
      <c r="BT48" s="234">
        <f>BT45-(36409+(AVERAGE(BS46:BX46)))</f>
        <v>19844.5</v>
      </c>
      <c r="BU48" s="234">
        <f>BU45-(36409+(AVERAGE(BS46:BX46)))</f>
        <v>18084.5</v>
      </c>
      <c r="BV48" s="234">
        <f>BV45-(36409+(AVERAGE(BS46:BX46)))</f>
        <v>10907.5</v>
      </c>
      <c r="BW48" s="234">
        <f>BW45-(36409+(AVERAGE(BS46:BX46)))</f>
        <v>7353.5</v>
      </c>
      <c r="BX48" s="245">
        <f>BX45-(36409+(AVERAGE(BS46:BX46)))</f>
        <v>6675.5</v>
      </c>
      <c r="BY48" s="237">
        <f>AVERAGE(BS48:BX48)</f>
        <v>14148</v>
      </c>
      <c r="BZ48" s="244">
        <f>BZ45-(36409+(AVERAGE(BZ46:CE46)))</f>
        <v>27829</v>
      </c>
      <c r="CA48" s="234">
        <f>CA45-(36409+(AVERAGE(BZ46:CE46)))</f>
        <v>23637</v>
      </c>
      <c r="CB48" s="234">
        <f>CB45-(36409+(AVERAGE(BZ46:CE46)))</f>
        <v>18810</v>
      </c>
      <c r="CC48" s="234">
        <f>CC45-(36409+(AVERAGE(BZ46:CE46)))</f>
        <v>20995</v>
      </c>
      <c r="CD48" s="234">
        <f>CD45-(36409+(AVERAGE(BZ46:CE46)))</f>
        <v>24237</v>
      </c>
      <c r="CE48" s="245">
        <f>CE45-(36409+(AVERAGE(BZ46:CE46)))</f>
        <v>19442</v>
      </c>
      <c r="CF48" s="237">
        <f>AVERAGE(BZ48:CE48)</f>
        <v>22491.666666666668</v>
      </c>
      <c r="CG48" s="244">
        <f>CG45-(36409+(AVERAGE(CG46:CL46)))</f>
        <v>8219.5</v>
      </c>
      <c r="CH48" s="234">
        <f>CH45-(36409+(AVERAGE(CG46:CL46)))</f>
        <v>10811.5</v>
      </c>
      <c r="CI48" s="234">
        <f>CI45-(36409+(AVERAGE(CG46:CL46)))</f>
        <v>10882.5</v>
      </c>
      <c r="CJ48" s="234">
        <f>CJ45-(36409+(AVERAGE(CG46:CL46)))</f>
        <v>5513.5</v>
      </c>
      <c r="CK48" s="234">
        <f>CK45-(36409+(AVERAGE(CG46:CL46)))</f>
        <v>4492.5</v>
      </c>
      <c r="CL48" s="245">
        <f>CL45-(36409+(AVERAGE(CG46:CL46)))</f>
        <v>7897.5</v>
      </c>
      <c r="CM48" s="237">
        <f>AVERAGE(CG48:CL48)</f>
        <v>7969.5</v>
      </c>
    </row>
    <row r="49" spans="1:91" ht="15.75" thickBot="1" x14ac:dyDescent="0.3">
      <c r="A49" s="198"/>
      <c r="H49"/>
      <c r="I49" s="292"/>
      <c r="O49"/>
      <c r="P49" s="292"/>
      <c r="U49" s="292"/>
      <c r="V49"/>
      <c r="X49" s="198"/>
      <c r="AF49" s="292"/>
      <c r="AM49" s="292"/>
      <c r="BB49" s="292"/>
      <c r="BC49" s="292"/>
      <c r="BI49" s="292"/>
      <c r="BJ49" s="292"/>
      <c r="BO49" s="292"/>
      <c r="BP49" s="292"/>
      <c r="BY49" s="292"/>
      <c r="BZ49" s="292"/>
      <c r="CF49" s="292"/>
      <c r="CG49" s="292"/>
      <c r="CM49" s="292"/>
    </row>
    <row r="50" spans="1:91" x14ac:dyDescent="0.25">
      <c r="A50" s="638" t="s">
        <v>108</v>
      </c>
      <c r="B50" s="640" t="s">
        <v>69</v>
      </c>
      <c r="C50" s="641"/>
      <c r="D50" s="641"/>
      <c r="E50" s="641"/>
      <c r="F50" s="641"/>
      <c r="G50" s="642"/>
      <c r="H50" s="643"/>
      <c r="I50" s="640" t="s">
        <v>70</v>
      </c>
      <c r="J50" s="641"/>
      <c r="K50" s="641"/>
      <c r="L50" s="641"/>
      <c r="M50" s="641"/>
      <c r="N50" s="642"/>
      <c r="O50" s="643"/>
      <c r="P50" s="640" t="s">
        <v>71</v>
      </c>
      <c r="Q50" s="641"/>
      <c r="R50" s="641"/>
      <c r="S50" s="641"/>
      <c r="T50" s="641"/>
      <c r="U50" s="642"/>
      <c r="V50" s="376"/>
      <c r="X50" s="645" t="s">
        <v>108</v>
      </c>
      <c r="Y50" s="616" t="s">
        <v>69</v>
      </c>
      <c r="Z50" s="617"/>
      <c r="AA50" s="617"/>
      <c r="AB50" s="617"/>
      <c r="AC50" s="617"/>
      <c r="AD50" s="635"/>
      <c r="AE50" s="636"/>
      <c r="AF50" s="616" t="s">
        <v>70</v>
      </c>
      <c r="AG50" s="617"/>
      <c r="AH50" s="617"/>
      <c r="AI50" s="617"/>
      <c r="AJ50" s="617"/>
      <c r="AK50" s="635"/>
      <c r="AL50" s="636"/>
      <c r="AM50" s="616" t="s">
        <v>71</v>
      </c>
      <c r="AN50" s="617"/>
      <c r="AO50" s="617"/>
      <c r="AP50" s="617"/>
      <c r="AQ50" s="617"/>
      <c r="AR50" s="635"/>
      <c r="AS50" s="284"/>
      <c r="AU50" s="550" t="s">
        <v>108</v>
      </c>
      <c r="AV50" s="660" t="s">
        <v>69</v>
      </c>
      <c r="AW50" s="661"/>
      <c r="AX50" s="661"/>
      <c r="AY50" s="661"/>
      <c r="AZ50" s="661"/>
      <c r="BA50" s="662"/>
      <c r="BB50" s="653"/>
      <c r="BC50" s="660" t="s">
        <v>70</v>
      </c>
      <c r="BD50" s="661"/>
      <c r="BE50" s="661"/>
      <c r="BF50" s="661"/>
      <c r="BG50" s="661"/>
      <c r="BH50" s="662"/>
      <c r="BI50" s="653"/>
      <c r="BJ50" s="660" t="s">
        <v>71</v>
      </c>
      <c r="BK50" s="661"/>
      <c r="BL50" s="661"/>
      <c r="BM50" s="661"/>
      <c r="BN50" s="661"/>
      <c r="BO50" s="662"/>
      <c r="BP50" s="238"/>
      <c r="BR50" s="511" t="s">
        <v>108</v>
      </c>
      <c r="BS50" s="623" t="s">
        <v>69</v>
      </c>
      <c r="BT50" s="624"/>
      <c r="BU50" s="624"/>
      <c r="BV50" s="624"/>
      <c r="BW50" s="624"/>
      <c r="BX50" s="658"/>
      <c r="BY50" s="656"/>
      <c r="BZ50" s="623" t="s">
        <v>70</v>
      </c>
      <c r="CA50" s="624"/>
      <c r="CB50" s="624"/>
      <c r="CC50" s="624"/>
      <c r="CD50" s="624"/>
      <c r="CE50" s="658"/>
      <c r="CF50" s="656"/>
      <c r="CG50" s="623" t="s">
        <v>71</v>
      </c>
      <c r="CH50" s="624"/>
      <c r="CI50" s="624"/>
      <c r="CJ50" s="624"/>
      <c r="CK50" s="624"/>
      <c r="CL50" s="658"/>
      <c r="CM50" s="239"/>
    </row>
    <row r="51" spans="1:91" ht="15.75" thickBot="1" x14ac:dyDescent="0.3">
      <c r="A51" s="639"/>
      <c r="B51" s="363">
        <v>1</v>
      </c>
      <c r="C51" s="344">
        <v>2</v>
      </c>
      <c r="D51" s="344">
        <v>3</v>
      </c>
      <c r="E51" s="344">
        <v>4</v>
      </c>
      <c r="F51" s="344">
        <v>5</v>
      </c>
      <c r="G51" s="345">
        <v>6</v>
      </c>
      <c r="H51" s="644"/>
      <c r="I51" s="343">
        <v>1</v>
      </c>
      <c r="J51" s="344">
        <v>2</v>
      </c>
      <c r="K51" s="344">
        <v>3</v>
      </c>
      <c r="L51" s="344">
        <v>4</v>
      </c>
      <c r="M51" s="344">
        <v>5</v>
      </c>
      <c r="N51" s="345">
        <v>6</v>
      </c>
      <c r="O51" s="644"/>
      <c r="P51" s="343">
        <v>1</v>
      </c>
      <c r="Q51" s="344">
        <v>2</v>
      </c>
      <c r="R51" s="344">
        <v>3</v>
      </c>
      <c r="S51" s="344">
        <v>4</v>
      </c>
      <c r="T51" s="344">
        <v>5</v>
      </c>
      <c r="U51" s="346">
        <v>6</v>
      </c>
      <c r="V51" s="177"/>
      <c r="X51" s="646"/>
      <c r="Y51" s="158">
        <v>1</v>
      </c>
      <c r="Z51" s="159">
        <v>2</v>
      </c>
      <c r="AA51" s="159">
        <v>3</v>
      </c>
      <c r="AB51" s="159">
        <v>4</v>
      </c>
      <c r="AC51" s="159">
        <v>5</v>
      </c>
      <c r="AD51" s="266">
        <v>6</v>
      </c>
      <c r="AE51" s="637"/>
      <c r="AF51" s="160">
        <v>1</v>
      </c>
      <c r="AG51" s="159">
        <v>2</v>
      </c>
      <c r="AH51" s="159">
        <v>3</v>
      </c>
      <c r="AI51" s="159">
        <v>4</v>
      </c>
      <c r="AJ51" s="159">
        <v>5</v>
      </c>
      <c r="AK51" s="266">
        <v>6</v>
      </c>
      <c r="AL51" s="637"/>
      <c r="AM51" s="160">
        <v>1</v>
      </c>
      <c r="AN51" s="159">
        <v>2</v>
      </c>
      <c r="AO51" s="159">
        <v>3</v>
      </c>
      <c r="AP51" s="159">
        <v>4</v>
      </c>
      <c r="AQ51" s="159">
        <v>5</v>
      </c>
      <c r="AR51" s="267">
        <v>6</v>
      </c>
      <c r="AS51" s="163"/>
      <c r="AU51" s="551"/>
      <c r="AV51" s="88">
        <v>1</v>
      </c>
      <c r="AW51" s="89">
        <v>2</v>
      </c>
      <c r="AX51" s="89">
        <v>3</v>
      </c>
      <c r="AY51" s="89">
        <v>4</v>
      </c>
      <c r="AZ51" s="89">
        <v>5</v>
      </c>
      <c r="BA51" s="97">
        <v>6</v>
      </c>
      <c r="BB51" s="654"/>
      <c r="BC51" s="91">
        <v>1</v>
      </c>
      <c r="BD51" s="89">
        <v>2</v>
      </c>
      <c r="BE51" s="89">
        <v>3</v>
      </c>
      <c r="BF51" s="89">
        <v>4</v>
      </c>
      <c r="BG51" s="89">
        <v>5</v>
      </c>
      <c r="BH51" s="97">
        <v>6</v>
      </c>
      <c r="BI51" s="654"/>
      <c r="BJ51" s="91">
        <v>1</v>
      </c>
      <c r="BK51" s="89">
        <v>2</v>
      </c>
      <c r="BL51" s="89">
        <v>3</v>
      </c>
      <c r="BM51" s="89">
        <v>4</v>
      </c>
      <c r="BN51" s="89">
        <v>5</v>
      </c>
      <c r="BO51" s="200">
        <v>6</v>
      </c>
      <c r="BP51" s="38"/>
      <c r="BR51" s="512"/>
      <c r="BS51" s="115">
        <v>1</v>
      </c>
      <c r="BT51" s="116">
        <v>2</v>
      </c>
      <c r="BU51" s="116">
        <v>3</v>
      </c>
      <c r="BV51" s="116">
        <v>4</v>
      </c>
      <c r="BW51" s="116">
        <v>5</v>
      </c>
      <c r="BX51" s="117">
        <v>6</v>
      </c>
      <c r="BY51" s="657"/>
      <c r="BZ51" s="118">
        <v>1</v>
      </c>
      <c r="CA51" s="116">
        <v>2</v>
      </c>
      <c r="CB51" s="116">
        <v>3</v>
      </c>
      <c r="CC51" s="116">
        <v>4</v>
      </c>
      <c r="CD51" s="116">
        <v>5</v>
      </c>
      <c r="CE51" s="117">
        <v>6</v>
      </c>
      <c r="CF51" s="657"/>
      <c r="CG51" s="118">
        <v>1</v>
      </c>
      <c r="CH51" s="116">
        <v>2</v>
      </c>
      <c r="CI51" s="116">
        <v>3</v>
      </c>
      <c r="CJ51" s="116">
        <v>4</v>
      </c>
      <c r="CK51" s="116">
        <v>5</v>
      </c>
      <c r="CL51" s="201">
        <v>6</v>
      </c>
      <c r="CM51" s="63"/>
    </row>
    <row r="52" spans="1:91" x14ac:dyDescent="0.25">
      <c r="A52" s="351" t="s">
        <v>73</v>
      </c>
      <c r="B52" s="348">
        <v>9814</v>
      </c>
      <c r="C52" s="349">
        <v>7281</v>
      </c>
      <c r="D52" s="349">
        <v>7617</v>
      </c>
      <c r="E52" s="349">
        <v>9479</v>
      </c>
      <c r="F52" s="349">
        <v>9680</v>
      </c>
      <c r="G52" s="353">
        <v>6123</v>
      </c>
      <c r="H52" s="377">
        <f>AVERAGE(B52:G52)</f>
        <v>8332.3333333333339</v>
      </c>
      <c r="I52" s="352">
        <v>5666</v>
      </c>
      <c r="J52" s="349">
        <v>5182</v>
      </c>
      <c r="K52" s="349">
        <v>5215</v>
      </c>
      <c r="L52" s="349">
        <v>4967</v>
      </c>
      <c r="M52" s="349">
        <v>5296</v>
      </c>
      <c r="N52" s="350">
        <v>4647</v>
      </c>
      <c r="O52" s="351">
        <f>AVERAGE(I52:N52)</f>
        <v>5162.166666666667</v>
      </c>
      <c r="P52" s="352">
        <v>5809</v>
      </c>
      <c r="Q52" s="349">
        <v>5945</v>
      </c>
      <c r="R52" s="349">
        <v>5463</v>
      </c>
      <c r="S52" s="349">
        <v>5863</v>
      </c>
      <c r="T52" s="349">
        <v>5343</v>
      </c>
      <c r="U52" s="353">
        <v>5382</v>
      </c>
      <c r="V52" s="351">
        <f>AVERAGE(P52:U52)</f>
        <v>5634.166666666667</v>
      </c>
      <c r="X52" s="161" t="s">
        <v>73</v>
      </c>
      <c r="Y52" s="150">
        <v>4100</v>
      </c>
      <c r="Z52" s="151">
        <v>3937</v>
      </c>
      <c r="AA52" s="151">
        <v>3860</v>
      </c>
      <c r="AB52" s="151">
        <v>3980</v>
      </c>
      <c r="AC52" s="151">
        <v>4043</v>
      </c>
      <c r="AD52" s="185">
        <v>3874</v>
      </c>
      <c r="AE52" s="269">
        <f>AVERAGE(Y52:AD52)</f>
        <v>3965.6666666666665</v>
      </c>
      <c r="AF52" s="152">
        <v>4116</v>
      </c>
      <c r="AG52" s="151">
        <v>3902</v>
      </c>
      <c r="AH52" s="151">
        <v>3909</v>
      </c>
      <c r="AI52" s="151">
        <v>3849</v>
      </c>
      <c r="AJ52" s="151">
        <v>3920</v>
      </c>
      <c r="AK52" s="270">
        <v>3884</v>
      </c>
      <c r="AL52" s="161">
        <f>AVERAGE(AF52:AK52)</f>
        <v>3930</v>
      </c>
      <c r="AM52" s="152">
        <v>4312</v>
      </c>
      <c r="AN52" s="151">
        <v>3955</v>
      </c>
      <c r="AO52" s="151">
        <v>3930</v>
      </c>
      <c r="AP52" s="151">
        <v>3998</v>
      </c>
      <c r="AQ52" s="151">
        <v>4069</v>
      </c>
      <c r="AR52" s="185">
        <v>4035</v>
      </c>
      <c r="AS52" s="161">
        <f>AVERAGE(AM52:AR52)</f>
        <v>4049.8333333333335</v>
      </c>
      <c r="AU52" s="29" t="s">
        <v>73</v>
      </c>
      <c r="AV52" s="203">
        <v>18126</v>
      </c>
      <c r="AW52" s="204">
        <v>20661</v>
      </c>
      <c r="AX52" s="204">
        <v>21662</v>
      </c>
      <c r="AY52" s="204">
        <v>22280</v>
      </c>
      <c r="AZ52" s="204">
        <v>27437</v>
      </c>
      <c r="BA52" s="207">
        <v>22605</v>
      </c>
      <c r="BB52" s="250">
        <v>22128.5</v>
      </c>
      <c r="BC52" s="206">
        <v>21927</v>
      </c>
      <c r="BD52" s="204">
        <v>28768</v>
      </c>
      <c r="BE52" s="204">
        <v>28279</v>
      </c>
      <c r="BF52" s="204">
        <v>26983</v>
      </c>
      <c r="BG52" s="204">
        <v>27514</v>
      </c>
      <c r="BH52" s="205">
        <v>27431</v>
      </c>
      <c r="BI52" s="29">
        <v>26817</v>
      </c>
      <c r="BJ52" s="206">
        <v>23879</v>
      </c>
      <c r="BK52" s="204">
        <v>25997</v>
      </c>
      <c r="BL52" s="204">
        <v>27439</v>
      </c>
      <c r="BM52" s="204">
        <v>25972</v>
      </c>
      <c r="BN52" s="204">
        <v>20221</v>
      </c>
      <c r="BO52" s="207">
        <v>21403</v>
      </c>
      <c r="BP52" s="29">
        <v>24151.833333333332</v>
      </c>
      <c r="BR52" s="51" t="s">
        <v>73</v>
      </c>
      <c r="BS52" s="107">
        <v>7558</v>
      </c>
      <c r="BT52" s="108">
        <v>6129</v>
      </c>
      <c r="BU52" s="108">
        <v>7441</v>
      </c>
      <c r="BV52" s="108">
        <v>7308</v>
      </c>
      <c r="BW52" s="108">
        <v>7607</v>
      </c>
      <c r="BX52" s="209">
        <v>7810</v>
      </c>
      <c r="BY52" s="251">
        <f>AVERAGE(BS52:BX52)</f>
        <v>7308.833333333333</v>
      </c>
      <c r="BZ52" s="110">
        <v>14935</v>
      </c>
      <c r="CA52" s="108">
        <v>22165</v>
      </c>
      <c r="CB52" s="108">
        <v>17934</v>
      </c>
      <c r="CC52" s="108">
        <v>21794</v>
      </c>
      <c r="CD52" s="108">
        <v>16677</v>
      </c>
      <c r="CE52" s="109">
        <v>14193</v>
      </c>
      <c r="CF52" s="51">
        <f>AVERAGE(BZ52:CE52)</f>
        <v>17949.666666666668</v>
      </c>
      <c r="CG52" s="110">
        <v>9232</v>
      </c>
      <c r="CH52" s="108">
        <v>8787</v>
      </c>
      <c r="CI52" s="108">
        <v>7902</v>
      </c>
      <c r="CJ52" s="108">
        <v>7932</v>
      </c>
      <c r="CK52" s="108">
        <v>6608</v>
      </c>
      <c r="CL52" s="209">
        <v>6563</v>
      </c>
      <c r="CM52" s="51">
        <f>AVERAGE(CG52:CL52)</f>
        <v>7837.333333333333</v>
      </c>
    </row>
    <row r="53" spans="1:91" x14ac:dyDescent="0.25">
      <c r="A53" s="171" t="s">
        <v>74</v>
      </c>
      <c r="B53" s="355">
        <v>90</v>
      </c>
      <c r="C53" s="356">
        <v>84</v>
      </c>
      <c r="D53" s="356">
        <v>85</v>
      </c>
      <c r="E53" s="356">
        <v>86</v>
      </c>
      <c r="F53" s="356">
        <v>91</v>
      </c>
      <c r="G53" s="373">
        <v>85</v>
      </c>
      <c r="H53" s="378">
        <f>AVERAGE(B53:G53)</f>
        <v>86.833333333333329</v>
      </c>
      <c r="I53" s="372">
        <v>86</v>
      </c>
      <c r="J53" s="356">
        <v>97</v>
      </c>
      <c r="K53" s="356">
        <v>85</v>
      </c>
      <c r="L53" s="356">
        <v>90</v>
      </c>
      <c r="M53" s="356">
        <v>96</v>
      </c>
      <c r="N53" s="364">
        <v>90</v>
      </c>
      <c r="O53" s="359">
        <f>AVERAGE(I53:N53)</f>
        <v>90.666666666666671</v>
      </c>
      <c r="P53" s="372">
        <v>88</v>
      </c>
      <c r="Q53" s="356">
        <v>92</v>
      </c>
      <c r="R53" s="356">
        <v>86</v>
      </c>
      <c r="S53" s="356">
        <v>89</v>
      </c>
      <c r="T53" s="356">
        <v>79</v>
      </c>
      <c r="U53" s="373">
        <v>95</v>
      </c>
      <c r="V53" s="359">
        <f>AVERAGE(P53:U53)</f>
        <v>88.166666666666671</v>
      </c>
      <c r="X53" s="162" t="s">
        <v>74</v>
      </c>
      <c r="Y53" s="154">
        <v>91</v>
      </c>
      <c r="Z53" s="155">
        <v>89</v>
      </c>
      <c r="AA53" s="155">
        <v>88</v>
      </c>
      <c r="AB53" s="155">
        <v>85</v>
      </c>
      <c r="AC53" s="155">
        <v>97</v>
      </c>
      <c r="AD53" s="187">
        <v>80</v>
      </c>
      <c r="AE53" s="272">
        <f>AVERAGE(Y53:AD53)</f>
        <v>88.333333333333329</v>
      </c>
      <c r="AF53" s="156">
        <v>84</v>
      </c>
      <c r="AG53" s="155">
        <v>85</v>
      </c>
      <c r="AH53" s="155">
        <v>96</v>
      </c>
      <c r="AI53" s="155">
        <v>104</v>
      </c>
      <c r="AJ53" s="155">
        <v>91</v>
      </c>
      <c r="AK53" s="285">
        <v>98</v>
      </c>
      <c r="AL53" s="275">
        <f>AVERAGE(AF53:AK53)</f>
        <v>93</v>
      </c>
      <c r="AM53" s="156">
        <v>87</v>
      </c>
      <c r="AN53" s="155">
        <v>89</v>
      </c>
      <c r="AO53" s="155">
        <v>95</v>
      </c>
      <c r="AP53" s="155">
        <v>90</v>
      </c>
      <c r="AQ53" s="155">
        <v>90</v>
      </c>
      <c r="AR53" s="187">
        <v>84</v>
      </c>
      <c r="AS53" s="275">
        <f>AVERAGE(AM53:AR53)</f>
        <v>89.166666666666671</v>
      </c>
      <c r="AU53" s="36" t="s">
        <v>74</v>
      </c>
      <c r="AV53" s="87">
        <v>34</v>
      </c>
      <c r="AW53" s="86">
        <v>44</v>
      </c>
      <c r="AX53" s="86">
        <v>45</v>
      </c>
      <c r="AY53" s="86">
        <v>47</v>
      </c>
      <c r="AZ53" s="86">
        <v>46</v>
      </c>
      <c r="BA53" s="240">
        <v>41</v>
      </c>
      <c r="BB53" s="252">
        <v>42.833333333333336</v>
      </c>
      <c r="BC53" s="90">
        <v>50</v>
      </c>
      <c r="BD53" s="86">
        <v>39</v>
      </c>
      <c r="BE53" s="86">
        <v>43</v>
      </c>
      <c r="BF53" s="86">
        <v>36</v>
      </c>
      <c r="BG53" s="86">
        <v>50</v>
      </c>
      <c r="BH53" s="96">
        <v>43</v>
      </c>
      <c r="BI53" s="213">
        <v>43.5</v>
      </c>
      <c r="BJ53" s="90">
        <v>46</v>
      </c>
      <c r="BK53" s="86">
        <v>48</v>
      </c>
      <c r="BL53" s="86">
        <v>46</v>
      </c>
      <c r="BM53" s="86">
        <v>43</v>
      </c>
      <c r="BN53" s="86">
        <v>46</v>
      </c>
      <c r="BO53" s="240">
        <v>46</v>
      </c>
      <c r="BP53" s="213">
        <v>45.833333333333336</v>
      </c>
      <c r="BR53" s="60" t="s">
        <v>74</v>
      </c>
      <c r="BS53" s="112">
        <v>53</v>
      </c>
      <c r="BT53" s="2">
        <v>56</v>
      </c>
      <c r="BU53" s="2">
        <v>58</v>
      </c>
      <c r="BV53" s="2">
        <v>51</v>
      </c>
      <c r="BW53" s="2">
        <v>45</v>
      </c>
      <c r="BX53" s="241">
        <v>58</v>
      </c>
      <c r="BY53" s="253">
        <f>AVERAGE(BS53:BX53)</f>
        <v>53.5</v>
      </c>
      <c r="BZ53" s="10">
        <v>51</v>
      </c>
      <c r="CA53" s="2">
        <v>46</v>
      </c>
      <c r="CB53" s="2">
        <v>44</v>
      </c>
      <c r="CC53" s="2">
        <v>47</v>
      </c>
      <c r="CD53" s="2">
        <v>46</v>
      </c>
      <c r="CE53" s="113">
        <v>52</v>
      </c>
      <c r="CF53" s="219">
        <f>AVERAGE(BZ53:CE53)</f>
        <v>47.666666666666664</v>
      </c>
      <c r="CG53" s="10">
        <v>65</v>
      </c>
      <c r="CH53" s="2">
        <v>57</v>
      </c>
      <c r="CI53" s="2">
        <v>53</v>
      </c>
      <c r="CJ53" s="2">
        <v>53</v>
      </c>
      <c r="CK53" s="2">
        <v>45</v>
      </c>
      <c r="CL53" s="241">
        <v>49</v>
      </c>
      <c r="CM53" s="219">
        <f>AVERAGE(CG53:CL53)</f>
        <v>53.666666666666664</v>
      </c>
    </row>
    <row r="54" spans="1:91" ht="15.75" thickBot="1" x14ac:dyDescent="0.3">
      <c r="A54" s="177" t="s">
        <v>75</v>
      </c>
      <c r="B54" s="379">
        <v>4159</v>
      </c>
      <c r="C54" s="357">
        <v>4004</v>
      </c>
      <c r="D54" s="358">
        <v>4290</v>
      </c>
      <c r="E54" s="332">
        <v>4288</v>
      </c>
      <c r="F54" s="332">
        <v>4114</v>
      </c>
      <c r="G54" s="378">
        <v>3865</v>
      </c>
      <c r="H54" s="365"/>
      <c r="I54" s="327"/>
      <c r="J54" s="327"/>
      <c r="K54" s="327"/>
      <c r="L54" s="327"/>
      <c r="M54" s="327"/>
      <c r="N54" s="327"/>
      <c r="O54" s="171"/>
      <c r="P54" s="327"/>
      <c r="Q54" s="327"/>
      <c r="R54" s="327"/>
      <c r="S54" s="327"/>
      <c r="T54" s="327"/>
      <c r="U54" s="365"/>
      <c r="V54" s="171">
        <f>AVERAGE(B54:G54)</f>
        <v>4120</v>
      </c>
      <c r="X54" s="163" t="s">
        <v>75</v>
      </c>
      <c r="Y54" s="193">
        <v>4159</v>
      </c>
      <c r="Z54" s="194">
        <v>4004</v>
      </c>
      <c r="AA54" s="274">
        <v>4290</v>
      </c>
      <c r="AB54" s="276">
        <v>4288</v>
      </c>
      <c r="AC54" s="276">
        <v>4114</v>
      </c>
      <c r="AD54" s="272">
        <v>3865</v>
      </c>
      <c r="AE54" s="287"/>
      <c r="AF54" s="286"/>
      <c r="AG54" s="286"/>
      <c r="AH54" s="286"/>
      <c r="AI54" s="286"/>
      <c r="AJ54" s="286"/>
      <c r="AK54" s="286"/>
      <c r="AL54" s="162"/>
      <c r="AM54" s="286"/>
      <c r="AN54" s="286"/>
      <c r="AO54" s="286"/>
      <c r="AP54" s="286"/>
      <c r="AQ54" s="286"/>
      <c r="AR54" s="287"/>
      <c r="AS54" s="162">
        <f>AVERAGE(Y54:AD54)</f>
        <v>4120</v>
      </c>
      <c r="AU54" s="38" t="s">
        <v>75</v>
      </c>
      <c r="AV54" s="254">
        <v>4046</v>
      </c>
      <c r="AW54" s="211">
        <v>4002</v>
      </c>
      <c r="AX54" s="212">
        <v>3990</v>
      </c>
      <c r="AY54" s="255">
        <v>4046</v>
      </c>
      <c r="AZ54" s="255">
        <v>4038</v>
      </c>
      <c r="BA54" s="252">
        <v>4005</v>
      </c>
      <c r="BB54" s="223"/>
      <c r="BC54" s="37"/>
      <c r="BD54" s="37"/>
      <c r="BE54" s="37"/>
      <c r="BF54" s="37"/>
      <c r="BG54" s="37"/>
      <c r="BH54" s="37"/>
      <c r="BI54" s="36"/>
      <c r="BJ54" s="37"/>
      <c r="BK54" s="37"/>
      <c r="BL54" s="37"/>
      <c r="BM54" s="37"/>
      <c r="BN54" s="37"/>
      <c r="BO54" s="223"/>
      <c r="BP54" s="36">
        <v>4021.1666666666665</v>
      </c>
      <c r="BR54" s="63" t="s">
        <v>75</v>
      </c>
      <c r="BS54" s="256">
        <v>4046</v>
      </c>
      <c r="BT54" s="217">
        <v>4002</v>
      </c>
      <c r="BU54" s="218">
        <v>3990</v>
      </c>
      <c r="BV54" s="257">
        <v>4046</v>
      </c>
      <c r="BW54" s="257">
        <v>4038</v>
      </c>
      <c r="BX54" s="253">
        <v>4005</v>
      </c>
      <c r="BY54" s="225"/>
      <c r="BZ54" s="59"/>
      <c r="CA54" s="59"/>
      <c r="CB54" s="59"/>
      <c r="CC54" s="59"/>
      <c r="CD54" s="59"/>
      <c r="CE54" s="59"/>
      <c r="CF54" s="60"/>
      <c r="CG54" s="59"/>
      <c r="CH54" s="59"/>
      <c r="CI54" s="59"/>
      <c r="CJ54" s="59"/>
      <c r="CK54" s="59"/>
      <c r="CL54" s="225"/>
      <c r="CM54" s="60">
        <f>AVERAGE(BS54:BX54)</f>
        <v>4021.1666666666665</v>
      </c>
    </row>
    <row r="55" spans="1:91" ht="15.75" thickBot="1" x14ac:dyDescent="0.3">
      <c r="A55" s="380" t="s">
        <v>76</v>
      </c>
      <c r="B55" s="374">
        <f>B52-(4120+(AVERAGE(B53:G53)))</f>
        <v>5607.166666666667</v>
      </c>
      <c r="C55" s="368">
        <f>C52-(4120+(AVERAGE(B53:G53)))</f>
        <v>3074.166666666667</v>
      </c>
      <c r="D55" s="368">
        <f>D52-(4120+(AVERAGE(B53:G53)))</f>
        <v>3410.166666666667</v>
      </c>
      <c r="E55" s="368">
        <f>E52-(4120+(AVERAGE(B53:G53)))</f>
        <v>5272.166666666667</v>
      </c>
      <c r="F55" s="368">
        <f>F52-(4120+(AVERAGE(B53:G53)))</f>
        <v>5473.166666666667</v>
      </c>
      <c r="G55" s="381">
        <f>G52-(4120+(AVERAGE(B53:G53)))</f>
        <v>1916.166666666667</v>
      </c>
      <c r="H55" s="382">
        <f>AVERAGE(B55:G55)</f>
        <v>4125.5000000000009</v>
      </c>
      <c r="I55" s="374">
        <f>I52-(4120+(AVERAGE(I53:N53)))</f>
        <v>1455.333333333333</v>
      </c>
      <c r="J55" s="368">
        <f>J52-(4120+(AVERAGE(I53:N53)))</f>
        <v>971.33333333333303</v>
      </c>
      <c r="K55" s="368">
        <f>K52-(4120+(AVERAGE(I53:N53)))</f>
        <v>1004.333333333333</v>
      </c>
      <c r="L55" s="368">
        <f>L52-(4120+(AVERAGE(I53:N53)))</f>
        <v>756.33333333333303</v>
      </c>
      <c r="M55" s="368">
        <f>M52-(4120+(AVERAGE(I53:N53)))</f>
        <v>1085.333333333333</v>
      </c>
      <c r="N55" s="381">
        <f>N52-(4120+(AVERAGE(I53:N53)))</f>
        <v>436.33333333333303</v>
      </c>
      <c r="O55" s="371">
        <f>AVERAGE(I55:N55)</f>
        <v>951.49999999999966</v>
      </c>
      <c r="P55" s="374">
        <f>P52-(4120+(AVERAGE(P53:U53)))</f>
        <v>1600.833333333333</v>
      </c>
      <c r="Q55" s="368">
        <f>Q52-(4120+(AVERAGE(P53:U53)))</f>
        <v>1736.833333333333</v>
      </c>
      <c r="R55" s="368">
        <f>R52-(4120+(AVERAGE(P53:U53)))</f>
        <v>1254.833333333333</v>
      </c>
      <c r="S55" s="368">
        <f>S52-(4120+(AVERAGE(P53:U53)))</f>
        <v>1654.833333333333</v>
      </c>
      <c r="T55" s="368">
        <f>T52-(4120+(AVERAGE(P53:U53)))</f>
        <v>1134.833333333333</v>
      </c>
      <c r="U55" s="381">
        <f>U52-(4120+(AVERAGE(P53:U53)))</f>
        <v>1173.833333333333</v>
      </c>
      <c r="V55" s="371">
        <f>AVERAGE(P55:U55)</f>
        <v>1425.9999999999998</v>
      </c>
      <c r="X55" s="288" t="s">
        <v>76</v>
      </c>
      <c r="Y55" s="278">
        <f>Y52-(4021.167+(AVERAGE(Y53:AD53)))</f>
        <v>-9.5003333333334012</v>
      </c>
      <c r="Z55" s="279">
        <f>Z52-(4021.167+(AVERAGE(Y53:AD53)))</f>
        <v>-172.5003333333334</v>
      </c>
      <c r="AA55" s="279">
        <f>AA52-(4021.167+(AVERAGE(Y53:AD53)))</f>
        <v>-249.5003333333334</v>
      </c>
      <c r="AB55" s="279">
        <f>AB52-(4021.167+(AVERAGE(Y53:AD53)))</f>
        <v>-129.5003333333334</v>
      </c>
      <c r="AC55" s="279">
        <f>AC52-(4021.167+(AVERAGE(Y53:AD53)))</f>
        <v>-66.500333333333401</v>
      </c>
      <c r="AD55" s="282">
        <f>AD52-(4021.167+(AVERAGE(Y53:AD53)))</f>
        <v>-235.5003333333334</v>
      </c>
      <c r="AE55" s="289">
        <f>AVERAGE(Y55:AD55)</f>
        <v>-143.83366666666674</v>
      </c>
      <c r="AF55" s="278">
        <f>AF52-(4120+(AVERAGE(AF53:AK53)))</f>
        <v>-97</v>
      </c>
      <c r="AG55" s="279">
        <f>AG52-(4120+(AVERAGE(AF53:AK53)))</f>
        <v>-311</v>
      </c>
      <c r="AH55" s="279">
        <f>AH52-(4120+(AVERAGE(AF53:AK53)))</f>
        <v>-304</v>
      </c>
      <c r="AI55" s="279">
        <f>AI52-(4120+(AVERAGE(AF53:AK53)))</f>
        <v>-364</v>
      </c>
      <c r="AJ55" s="279">
        <f>AJ52-(4120+(AVERAGE(AF53:AK53)))</f>
        <v>-293</v>
      </c>
      <c r="AK55" s="282">
        <f>AK52-(4120+(AVERAGE(AF53:AK53)))</f>
        <v>-329</v>
      </c>
      <c r="AL55" s="283">
        <f>AVERAGE(AF55:AK55)</f>
        <v>-283</v>
      </c>
      <c r="AM55" s="278">
        <f>AM52-(4120+(AVERAGE(AM53:AR53)))</f>
        <v>102.83333333333303</v>
      </c>
      <c r="AN55" s="279">
        <f>AN52-(4120+(AVERAGE(AM53:AR53)))</f>
        <v>-254.16666666666697</v>
      </c>
      <c r="AO55" s="279">
        <f>AO52-(4120+(AVERAGE(AM53:AR53)))</f>
        <v>-279.16666666666697</v>
      </c>
      <c r="AP55" s="279">
        <f>AP52-(4120+(AVERAGE(AM53:AR53)))</f>
        <v>-211.16666666666697</v>
      </c>
      <c r="AQ55" s="279">
        <f>AQ52-(4120+(AVERAGE(AM53:AR53)))</f>
        <v>-140.16666666666697</v>
      </c>
      <c r="AR55" s="282">
        <f>AR52-(4120+(AVERAGE(AM53:AR53)))</f>
        <v>-174.16666666666697</v>
      </c>
      <c r="AS55" s="283">
        <f>AVERAGE(AM55:AR55)</f>
        <v>-159.33333333333363</v>
      </c>
      <c r="AU55" s="258" t="s">
        <v>76</v>
      </c>
      <c r="AV55" s="242">
        <v>14061.999666666667</v>
      </c>
      <c r="AW55" s="228">
        <v>16596.999666666667</v>
      </c>
      <c r="AX55" s="228">
        <v>17597.999666666667</v>
      </c>
      <c r="AY55" s="228">
        <v>18215.999666666667</v>
      </c>
      <c r="AZ55" s="228">
        <v>23372.999666666667</v>
      </c>
      <c r="BA55" s="259">
        <v>18540.999666666667</v>
      </c>
      <c r="BB55" s="260">
        <v>18064.499666666667</v>
      </c>
      <c r="BC55" s="242">
        <v>17862.332999999999</v>
      </c>
      <c r="BD55" s="228">
        <v>24703.332999999999</v>
      </c>
      <c r="BE55" s="228">
        <v>24214.332999999999</v>
      </c>
      <c r="BF55" s="228">
        <v>22918.332999999999</v>
      </c>
      <c r="BG55" s="228">
        <v>23449.332999999999</v>
      </c>
      <c r="BH55" s="259">
        <v>23366.332999999999</v>
      </c>
      <c r="BI55" s="231">
        <v>22752.332999999999</v>
      </c>
      <c r="BJ55" s="242">
        <v>19811.999666666667</v>
      </c>
      <c r="BK55" s="228">
        <v>21929.999666666667</v>
      </c>
      <c r="BL55" s="228">
        <v>23371.999666666667</v>
      </c>
      <c r="BM55" s="228">
        <v>21904.999666666667</v>
      </c>
      <c r="BN55" s="228">
        <v>16153.999666666667</v>
      </c>
      <c r="BO55" s="259">
        <v>17335.999666666667</v>
      </c>
      <c r="BP55" s="231">
        <v>20084.833000000002</v>
      </c>
      <c r="BR55" s="261" t="s">
        <v>76</v>
      </c>
      <c r="BS55" s="244">
        <f>BS52-(4021.167+(AVERAGE(BS53:BX53)))</f>
        <v>3483.3330000000001</v>
      </c>
      <c r="BT55" s="234">
        <f>BT52-(4021.167+(AVERAGE(BS53:BX53)))</f>
        <v>2054.3330000000001</v>
      </c>
      <c r="BU55" s="234">
        <f>BU52-(4021.167+(AVERAGE(BS53:BX53)))</f>
        <v>3366.3330000000001</v>
      </c>
      <c r="BV55" s="234">
        <f>BV52-(4021.167+(AVERAGE(BS53:BX53)))</f>
        <v>3233.3330000000001</v>
      </c>
      <c r="BW55" s="234">
        <f>BW52-(4021.167+(AVERAGE(BS53:BX53)))</f>
        <v>3532.3330000000001</v>
      </c>
      <c r="BX55" s="262">
        <f>BX52-(4021.167+(AVERAGE(BS53:BX53)))</f>
        <v>3735.3330000000001</v>
      </c>
      <c r="BY55" s="263">
        <f>AVERAGE(BS55:BX55)</f>
        <v>3234.1663333333331</v>
      </c>
      <c r="BZ55" s="244">
        <f>BZ52-(4021.167+(AVERAGE(BZ53:CE53)))</f>
        <v>10866.166333333334</v>
      </c>
      <c r="CA55" s="234">
        <f>CA52-(4021.167+(AVERAGE(BZ53:CE53)))</f>
        <v>18096.166333333334</v>
      </c>
      <c r="CB55" s="234">
        <f>CB52-(4021.167+(AVERAGE(BZ53:CE53)))</f>
        <v>13865.166333333334</v>
      </c>
      <c r="CC55" s="234">
        <f>CC52-(4021.167+(AVERAGE(BZ53:CE53)))</f>
        <v>17725.166333333334</v>
      </c>
      <c r="CD55" s="234">
        <f>CD52-(4021.167+(AVERAGE(BZ53:CE53)))</f>
        <v>12608.166333333334</v>
      </c>
      <c r="CE55" s="262">
        <f>CE52-(4021.167+(AVERAGE(BZ53:CE53)))</f>
        <v>10124.166333333334</v>
      </c>
      <c r="CF55" s="237">
        <f>AVERAGE(BZ55:CE55)</f>
        <v>13880.832999999999</v>
      </c>
      <c r="CG55" s="244">
        <f>CG52-(4021.167+(AVERAGE(CG53:CL53)))</f>
        <v>5157.1663333333336</v>
      </c>
      <c r="CH55" s="234">
        <f>CH52-(4021.167+(AVERAGE(CG53:CL53)))</f>
        <v>4712.1663333333336</v>
      </c>
      <c r="CI55" s="234">
        <f>CI52-(4021.167+(AVERAGE(CG53:CL53)))</f>
        <v>3827.1663333333336</v>
      </c>
      <c r="CJ55" s="234">
        <f>CJ52-(4021.167+(AVERAGE(CG53:CL53)))</f>
        <v>3857.1663333333336</v>
      </c>
      <c r="CK55" s="234">
        <f>CK52-(4021.167+(AVERAGE(CG53:CL53)))</f>
        <v>2533.1663333333336</v>
      </c>
      <c r="CL55" s="262">
        <f>CL52-(4021.167+(AVERAGE(CG53:CL53)))</f>
        <v>2488.1663333333336</v>
      </c>
      <c r="CM55" s="237">
        <f>AVERAGE(CG55:CL55)</f>
        <v>3762.4996666666671</v>
      </c>
    </row>
    <row r="56" spans="1:91" ht="15.75" thickBot="1" x14ac:dyDescent="0.3">
      <c r="H56" s="291"/>
      <c r="I56" s="291"/>
      <c r="O56" s="291"/>
      <c r="P56" s="291"/>
      <c r="V56" s="291"/>
      <c r="AE56" s="291"/>
      <c r="AF56" s="291"/>
      <c r="AL56" s="291"/>
      <c r="AM56" s="291"/>
      <c r="AS56" s="291"/>
      <c r="BB56" s="291"/>
      <c r="BC56" s="291"/>
      <c r="BI56" s="291"/>
      <c r="BJ56" s="291"/>
      <c r="BP56" s="291"/>
      <c r="BY56" s="291"/>
      <c r="BZ56" s="291"/>
      <c r="CF56" s="291"/>
      <c r="CG56" s="291"/>
      <c r="CM56" s="291"/>
    </row>
    <row r="57" spans="1:91" x14ac:dyDescent="0.25">
      <c r="A57" s="638" t="s">
        <v>116</v>
      </c>
      <c r="B57" s="640" t="s">
        <v>69</v>
      </c>
      <c r="C57" s="641"/>
      <c r="D57" s="641"/>
      <c r="E57" s="641"/>
      <c r="F57" s="641"/>
      <c r="G57" s="642"/>
      <c r="H57" s="643"/>
      <c r="I57" s="640" t="s">
        <v>70</v>
      </c>
      <c r="J57" s="641"/>
      <c r="K57" s="641"/>
      <c r="L57" s="641"/>
      <c r="M57" s="641"/>
      <c r="N57" s="642"/>
      <c r="O57" s="643"/>
      <c r="P57" s="640" t="s">
        <v>71</v>
      </c>
      <c r="Q57" s="641"/>
      <c r="R57" s="641"/>
      <c r="S57" s="641"/>
      <c r="T57" s="641"/>
      <c r="U57" s="642"/>
      <c r="V57" s="643"/>
      <c r="X57" s="645" t="s">
        <v>116</v>
      </c>
      <c r="Y57" s="616" t="s">
        <v>69</v>
      </c>
      <c r="Z57" s="617"/>
      <c r="AA57" s="617"/>
      <c r="AB57" s="617"/>
      <c r="AC57" s="617"/>
      <c r="AD57" s="635"/>
      <c r="AE57" s="636"/>
      <c r="AF57" s="616" t="s">
        <v>70</v>
      </c>
      <c r="AG57" s="617"/>
      <c r="AH57" s="617"/>
      <c r="AI57" s="617"/>
      <c r="AJ57" s="617"/>
      <c r="AK57" s="635"/>
      <c r="AL57" s="636"/>
      <c r="AM57" s="616" t="s">
        <v>71</v>
      </c>
      <c r="AN57" s="617"/>
      <c r="AO57" s="617"/>
      <c r="AP57" s="617"/>
      <c r="AQ57" s="617"/>
      <c r="AR57" s="635"/>
      <c r="AS57" s="636"/>
      <c r="AU57" s="550" t="s">
        <v>116</v>
      </c>
      <c r="AV57" s="660" t="s">
        <v>69</v>
      </c>
      <c r="AW57" s="661"/>
      <c r="AX57" s="661"/>
      <c r="AY57" s="661"/>
      <c r="AZ57" s="661"/>
      <c r="BA57" s="662"/>
      <c r="BB57" s="653"/>
      <c r="BC57" s="660" t="s">
        <v>70</v>
      </c>
      <c r="BD57" s="661"/>
      <c r="BE57" s="661"/>
      <c r="BF57" s="661"/>
      <c r="BG57" s="661"/>
      <c r="BH57" s="662"/>
      <c r="BI57" s="653"/>
      <c r="BJ57" s="660" t="s">
        <v>71</v>
      </c>
      <c r="BK57" s="661"/>
      <c r="BL57" s="661"/>
      <c r="BM57" s="661"/>
      <c r="BN57" s="661"/>
      <c r="BO57" s="662"/>
      <c r="BP57" s="653"/>
      <c r="BR57" s="511" t="s">
        <v>116</v>
      </c>
      <c r="BS57" s="623" t="s">
        <v>69</v>
      </c>
      <c r="BT57" s="624"/>
      <c r="BU57" s="624"/>
      <c r="BV57" s="624"/>
      <c r="BW57" s="624"/>
      <c r="BX57" s="658"/>
      <c r="BY57" s="656"/>
      <c r="BZ57" s="623" t="s">
        <v>70</v>
      </c>
      <c r="CA57" s="624"/>
      <c r="CB57" s="624"/>
      <c r="CC57" s="624"/>
      <c r="CD57" s="624"/>
      <c r="CE57" s="658"/>
      <c r="CF57" s="656"/>
      <c r="CG57" s="623" t="s">
        <v>71</v>
      </c>
      <c r="CH57" s="624"/>
      <c r="CI57" s="624"/>
      <c r="CJ57" s="624"/>
      <c r="CK57" s="624"/>
      <c r="CL57" s="658"/>
      <c r="CM57" s="656"/>
    </row>
    <row r="58" spans="1:91" ht="15.75" thickBot="1" x14ac:dyDescent="0.3">
      <c r="A58" s="639"/>
      <c r="B58" s="363">
        <v>1</v>
      </c>
      <c r="C58" s="344">
        <v>2</v>
      </c>
      <c r="D58" s="344">
        <v>3</v>
      </c>
      <c r="E58" s="344">
        <v>4</v>
      </c>
      <c r="F58" s="344">
        <v>5</v>
      </c>
      <c r="G58" s="345">
        <v>6</v>
      </c>
      <c r="H58" s="644"/>
      <c r="I58" s="343">
        <v>1</v>
      </c>
      <c r="J58" s="344">
        <v>2</v>
      </c>
      <c r="K58" s="344">
        <v>3</v>
      </c>
      <c r="L58" s="344">
        <v>4</v>
      </c>
      <c r="M58" s="344">
        <v>5</v>
      </c>
      <c r="N58" s="345">
        <v>6</v>
      </c>
      <c r="O58" s="644"/>
      <c r="P58" s="343">
        <v>1</v>
      </c>
      <c r="Q58" s="344">
        <v>2</v>
      </c>
      <c r="R58" s="344">
        <v>3</v>
      </c>
      <c r="S58" s="344">
        <v>4</v>
      </c>
      <c r="T58" s="344">
        <v>5</v>
      </c>
      <c r="U58" s="346">
        <v>6</v>
      </c>
      <c r="V58" s="644"/>
      <c r="X58" s="646"/>
      <c r="Y58" s="158">
        <v>1</v>
      </c>
      <c r="Z58" s="159">
        <v>2</v>
      </c>
      <c r="AA58" s="159">
        <v>3</v>
      </c>
      <c r="AB58" s="159">
        <v>4</v>
      </c>
      <c r="AC58" s="159">
        <v>5</v>
      </c>
      <c r="AD58" s="266">
        <v>6</v>
      </c>
      <c r="AE58" s="637"/>
      <c r="AF58" s="160">
        <v>1</v>
      </c>
      <c r="AG58" s="159">
        <v>2</v>
      </c>
      <c r="AH58" s="159">
        <v>3</v>
      </c>
      <c r="AI58" s="159">
        <v>4</v>
      </c>
      <c r="AJ58" s="159">
        <v>5</v>
      </c>
      <c r="AK58" s="266">
        <v>6</v>
      </c>
      <c r="AL58" s="637"/>
      <c r="AM58" s="160">
        <v>1</v>
      </c>
      <c r="AN58" s="159">
        <v>2</v>
      </c>
      <c r="AO58" s="159">
        <v>3</v>
      </c>
      <c r="AP58" s="159">
        <v>4</v>
      </c>
      <c r="AQ58" s="159">
        <v>5</v>
      </c>
      <c r="AR58" s="267">
        <v>6</v>
      </c>
      <c r="AS58" s="637"/>
      <c r="AU58" s="551"/>
      <c r="AV58" s="88">
        <v>1</v>
      </c>
      <c r="AW58" s="89">
        <v>2</v>
      </c>
      <c r="AX58" s="89">
        <v>3</v>
      </c>
      <c r="AY58" s="89">
        <v>4</v>
      </c>
      <c r="AZ58" s="89">
        <v>5</v>
      </c>
      <c r="BA58" s="97">
        <v>6</v>
      </c>
      <c r="BB58" s="654"/>
      <c r="BC58" s="91">
        <v>1</v>
      </c>
      <c r="BD58" s="89">
        <v>2</v>
      </c>
      <c r="BE58" s="89">
        <v>3</v>
      </c>
      <c r="BF58" s="89">
        <v>4</v>
      </c>
      <c r="BG58" s="89">
        <v>5</v>
      </c>
      <c r="BH58" s="97">
        <v>6</v>
      </c>
      <c r="BI58" s="654"/>
      <c r="BJ58" s="91">
        <v>1</v>
      </c>
      <c r="BK58" s="89">
        <v>2</v>
      </c>
      <c r="BL58" s="89">
        <v>3</v>
      </c>
      <c r="BM58" s="89">
        <v>4</v>
      </c>
      <c r="BN58" s="89">
        <v>5</v>
      </c>
      <c r="BO58" s="200">
        <v>6</v>
      </c>
      <c r="BP58" s="654"/>
      <c r="BR58" s="512"/>
      <c r="BS58" s="115">
        <v>1</v>
      </c>
      <c r="BT58" s="116">
        <v>2</v>
      </c>
      <c r="BU58" s="116">
        <v>3</v>
      </c>
      <c r="BV58" s="116">
        <v>4</v>
      </c>
      <c r="BW58" s="116">
        <v>5</v>
      </c>
      <c r="BX58" s="117">
        <v>6</v>
      </c>
      <c r="BY58" s="657"/>
      <c r="BZ58" s="118">
        <v>1</v>
      </c>
      <c r="CA58" s="116">
        <v>2</v>
      </c>
      <c r="CB58" s="116">
        <v>3</v>
      </c>
      <c r="CC58" s="116">
        <v>4</v>
      </c>
      <c r="CD58" s="116">
        <v>5</v>
      </c>
      <c r="CE58" s="117">
        <v>6</v>
      </c>
      <c r="CF58" s="657"/>
      <c r="CG58" s="118">
        <v>1</v>
      </c>
      <c r="CH58" s="116">
        <v>2</v>
      </c>
      <c r="CI58" s="116">
        <v>3</v>
      </c>
      <c r="CJ58" s="116">
        <v>4</v>
      </c>
      <c r="CK58" s="116">
        <v>5</v>
      </c>
      <c r="CL58" s="201">
        <v>6</v>
      </c>
      <c r="CM58" s="657"/>
    </row>
    <row r="59" spans="1:91" x14ac:dyDescent="0.25">
      <c r="A59" s="351" t="s">
        <v>73</v>
      </c>
      <c r="B59" s="348">
        <v>24556</v>
      </c>
      <c r="C59" s="349">
        <v>31034</v>
      </c>
      <c r="D59" s="349">
        <v>27026</v>
      </c>
      <c r="E59" s="349">
        <v>37877</v>
      </c>
      <c r="F59" s="349">
        <v>32723</v>
      </c>
      <c r="G59" s="350">
        <v>13396</v>
      </c>
      <c r="H59" s="351">
        <f>AVERAGE(B59:G59)</f>
        <v>27768.666666666668</v>
      </c>
      <c r="I59" s="352">
        <v>8167</v>
      </c>
      <c r="J59" s="349">
        <v>10612</v>
      </c>
      <c r="K59" s="349">
        <v>10557</v>
      </c>
      <c r="L59" s="349">
        <v>11652</v>
      </c>
      <c r="M59" s="349">
        <v>9455</v>
      </c>
      <c r="N59" s="350">
        <v>6789</v>
      </c>
      <c r="O59" s="351">
        <f>AVERAGE(I59:N59)</f>
        <v>9538.6666666666661</v>
      </c>
      <c r="P59" s="352">
        <v>11159</v>
      </c>
      <c r="Q59" s="349">
        <v>9093</v>
      </c>
      <c r="R59" s="349">
        <v>9973</v>
      </c>
      <c r="S59" s="349">
        <v>11268</v>
      </c>
      <c r="T59" s="349">
        <v>10922</v>
      </c>
      <c r="U59" s="353">
        <v>9117</v>
      </c>
      <c r="V59" s="351">
        <f>AVERAGE(P59:U59)</f>
        <v>10255.333333333334</v>
      </c>
      <c r="X59" s="161" t="s">
        <v>73</v>
      </c>
      <c r="Y59" s="150">
        <v>7171</v>
      </c>
      <c r="Z59" s="151">
        <v>14043</v>
      </c>
      <c r="AA59" s="151">
        <v>16381</v>
      </c>
      <c r="AB59" s="151">
        <v>15174</v>
      </c>
      <c r="AC59" s="151">
        <v>17530</v>
      </c>
      <c r="AD59" s="270">
        <v>17684</v>
      </c>
      <c r="AE59" s="161">
        <f>AVERAGE(Y59:AD59)</f>
        <v>14663.833333333334</v>
      </c>
      <c r="AF59" s="152">
        <v>5800</v>
      </c>
      <c r="AG59" s="151">
        <v>7995</v>
      </c>
      <c r="AH59" s="151">
        <v>9275</v>
      </c>
      <c r="AI59" s="151">
        <v>8086</v>
      </c>
      <c r="AJ59" s="151">
        <v>8654</v>
      </c>
      <c r="AK59" s="270">
        <v>9545</v>
      </c>
      <c r="AL59" s="161">
        <f>AVERAGE(AF59:AK59)</f>
        <v>8225.8333333333339</v>
      </c>
      <c r="AM59" s="152">
        <v>10561</v>
      </c>
      <c r="AN59" s="151">
        <v>16716</v>
      </c>
      <c r="AO59" s="151">
        <v>15083</v>
      </c>
      <c r="AP59" s="151">
        <v>20490</v>
      </c>
      <c r="AQ59" s="151">
        <v>14184</v>
      </c>
      <c r="AR59" s="185">
        <v>13518</v>
      </c>
      <c r="AS59" s="161">
        <f>AVERAGE(AM59:AR59)</f>
        <v>15092</v>
      </c>
      <c r="AU59" s="29" t="s">
        <v>73</v>
      </c>
      <c r="AV59" s="203">
        <v>28644</v>
      </c>
      <c r="AW59" s="204">
        <v>32896</v>
      </c>
      <c r="AX59" s="204">
        <v>36426</v>
      </c>
      <c r="AY59" s="204">
        <v>41680</v>
      </c>
      <c r="AZ59" s="204">
        <v>50259</v>
      </c>
      <c r="BA59" s="205">
        <v>41183</v>
      </c>
      <c r="BB59" s="29">
        <v>38514.666666666664</v>
      </c>
      <c r="BC59" s="206">
        <v>38082</v>
      </c>
      <c r="BD59" s="204">
        <v>53206</v>
      </c>
      <c r="BE59" s="204">
        <v>65184</v>
      </c>
      <c r="BF59" s="204">
        <v>51900</v>
      </c>
      <c r="BG59" s="204">
        <v>40471</v>
      </c>
      <c r="BH59" s="205">
        <v>35391</v>
      </c>
      <c r="BI59" s="29">
        <v>47372.333333333336</v>
      </c>
      <c r="BJ59" s="206">
        <v>38459</v>
      </c>
      <c r="BK59" s="204">
        <v>42884</v>
      </c>
      <c r="BL59" s="204">
        <v>45360</v>
      </c>
      <c r="BM59" s="204">
        <v>46912</v>
      </c>
      <c r="BN59" s="204">
        <v>46715</v>
      </c>
      <c r="BO59" s="207">
        <v>40150</v>
      </c>
      <c r="BP59" s="29">
        <v>43413.333333333336</v>
      </c>
      <c r="BR59" s="51" t="s">
        <v>73</v>
      </c>
      <c r="BS59" s="107">
        <v>16999</v>
      </c>
      <c r="BT59" s="108">
        <v>21572</v>
      </c>
      <c r="BU59" s="108">
        <v>19065</v>
      </c>
      <c r="BV59" s="108">
        <v>28405</v>
      </c>
      <c r="BW59" s="108">
        <v>17454</v>
      </c>
      <c r="BX59" s="109">
        <v>18514</v>
      </c>
      <c r="BY59" s="51">
        <f>AVERAGE(BS59:BX59)</f>
        <v>20334.833333333332</v>
      </c>
      <c r="BZ59" s="110">
        <v>42779</v>
      </c>
      <c r="CA59" s="108">
        <v>40352</v>
      </c>
      <c r="CB59" s="108">
        <v>36828</v>
      </c>
      <c r="CC59" s="108">
        <v>43907</v>
      </c>
      <c r="CD59" s="108">
        <v>40700</v>
      </c>
      <c r="CE59" s="109">
        <v>57485</v>
      </c>
      <c r="CF59" s="51">
        <f>AVERAGE(BZ59:CE59)</f>
        <v>43675.166666666664</v>
      </c>
      <c r="CG59" s="110">
        <v>29147</v>
      </c>
      <c r="CH59" s="108">
        <v>26035</v>
      </c>
      <c r="CI59" s="108">
        <v>29700</v>
      </c>
      <c r="CJ59" s="108">
        <v>28034</v>
      </c>
      <c r="CK59" s="108">
        <v>28870</v>
      </c>
      <c r="CL59" s="209">
        <v>32821</v>
      </c>
      <c r="CM59" s="51">
        <f>AVERAGE(CG59:CL59)</f>
        <v>29101.166666666668</v>
      </c>
    </row>
    <row r="60" spans="1:91" x14ac:dyDescent="0.25">
      <c r="A60" s="171" t="s">
        <v>74</v>
      </c>
      <c r="B60" s="355">
        <v>84</v>
      </c>
      <c r="C60" s="356">
        <v>83</v>
      </c>
      <c r="D60" s="356">
        <v>77</v>
      </c>
      <c r="E60" s="356">
        <v>86</v>
      </c>
      <c r="F60" s="356">
        <v>86</v>
      </c>
      <c r="G60" s="364">
        <v>87</v>
      </c>
      <c r="H60" s="359">
        <f>AVERAGE(B60:G60)</f>
        <v>83.833333333333329</v>
      </c>
      <c r="I60" s="372">
        <v>80</v>
      </c>
      <c r="J60" s="356">
        <v>102</v>
      </c>
      <c r="K60" s="356">
        <v>95</v>
      </c>
      <c r="L60" s="356">
        <v>82</v>
      </c>
      <c r="M60" s="356">
        <v>90</v>
      </c>
      <c r="N60" s="364">
        <v>86</v>
      </c>
      <c r="O60" s="359">
        <f>AVERAGE(I60:N60)</f>
        <v>89.166666666666671</v>
      </c>
      <c r="P60" s="372">
        <v>85</v>
      </c>
      <c r="Q60" s="356">
        <v>82</v>
      </c>
      <c r="R60" s="356">
        <v>91</v>
      </c>
      <c r="S60" s="356">
        <v>78</v>
      </c>
      <c r="T60" s="356">
        <v>88</v>
      </c>
      <c r="U60" s="373">
        <v>85</v>
      </c>
      <c r="V60" s="359">
        <f>AVERAGE(P60:U60)</f>
        <v>84.833333333333329</v>
      </c>
      <c r="X60" s="162" t="s">
        <v>74</v>
      </c>
      <c r="Y60" s="154">
        <v>95</v>
      </c>
      <c r="Z60" s="155">
        <v>78</v>
      </c>
      <c r="AA60" s="155">
        <v>87</v>
      </c>
      <c r="AB60" s="155">
        <v>89</v>
      </c>
      <c r="AC60" s="155">
        <v>83</v>
      </c>
      <c r="AD60" s="285">
        <v>84</v>
      </c>
      <c r="AE60" s="275">
        <f>AVERAGE(Y60:AD60)</f>
        <v>86</v>
      </c>
      <c r="AF60" s="156">
        <v>88</v>
      </c>
      <c r="AG60" s="155">
        <v>97</v>
      </c>
      <c r="AH60" s="155">
        <v>96</v>
      </c>
      <c r="AI60" s="155">
        <v>78</v>
      </c>
      <c r="AJ60" s="155">
        <v>97</v>
      </c>
      <c r="AK60" s="285">
        <v>88</v>
      </c>
      <c r="AL60" s="275">
        <f>AVERAGE(AF60:AK60)</f>
        <v>90.666666666666671</v>
      </c>
      <c r="AM60" s="156">
        <v>86</v>
      </c>
      <c r="AN60" s="155">
        <v>86</v>
      </c>
      <c r="AO60" s="155">
        <v>84</v>
      </c>
      <c r="AP60" s="155">
        <v>91</v>
      </c>
      <c r="AQ60" s="155">
        <v>80</v>
      </c>
      <c r="AR60" s="187">
        <v>84</v>
      </c>
      <c r="AS60" s="275">
        <f>AVERAGE(AM60:AR60)</f>
        <v>85.166666666666671</v>
      </c>
      <c r="AU60" s="36" t="s">
        <v>74</v>
      </c>
      <c r="AV60" s="87">
        <v>37</v>
      </c>
      <c r="AW60" s="86">
        <v>36</v>
      </c>
      <c r="AX60" s="86">
        <v>44</v>
      </c>
      <c r="AY60" s="86">
        <v>40</v>
      </c>
      <c r="AZ60" s="86">
        <v>36</v>
      </c>
      <c r="BA60" s="96">
        <v>48</v>
      </c>
      <c r="BB60" s="213">
        <v>40.166666666666664</v>
      </c>
      <c r="BC60" s="90">
        <v>35</v>
      </c>
      <c r="BD60" s="86">
        <v>38</v>
      </c>
      <c r="BE60" s="86">
        <v>51</v>
      </c>
      <c r="BF60" s="86">
        <v>38</v>
      </c>
      <c r="BG60" s="86">
        <v>54</v>
      </c>
      <c r="BH60" s="96">
        <v>41</v>
      </c>
      <c r="BI60" s="213">
        <v>42.833333333333336</v>
      </c>
      <c r="BJ60" s="90">
        <v>56</v>
      </c>
      <c r="BK60" s="86">
        <v>42</v>
      </c>
      <c r="BL60" s="86">
        <v>37</v>
      </c>
      <c r="BM60" s="86">
        <v>47</v>
      </c>
      <c r="BN60" s="86">
        <v>40</v>
      </c>
      <c r="BO60" s="240">
        <v>40</v>
      </c>
      <c r="BP60" s="213">
        <v>43.666666666666664</v>
      </c>
      <c r="BR60" s="60" t="s">
        <v>74</v>
      </c>
      <c r="BS60" s="112">
        <v>48</v>
      </c>
      <c r="BT60" s="2">
        <v>43</v>
      </c>
      <c r="BU60" s="2">
        <v>45</v>
      </c>
      <c r="BV60" s="2">
        <v>41</v>
      </c>
      <c r="BW60" s="2">
        <v>60</v>
      </c>
      <c r="BX60" s="113">
        <v>47</v>
      </c>
      <c r="BY60" s="219">
        <f>AVERAGE(BS60:BX60)</f>
        <v>47.333333333333336</v>
      </c>
      <c r="BZ60" s="10">
        <v>55</v>
      </c>
      <c r="CA60" s="2">
        <v>52</v>
      </c>
      <c r="CB60" s="2">
        <v>51</v>
      </c>
      <c r="CC60" s="2">
        <v>43</v>
      </c>
      <c r="CD60" s="2">
        <v>60</v>
      </c>
      <c r="CE60" s="113">
        <v>55</v>
      </c>
      <c r="CF60" s="219">
        <f>AVERAGE(BZ60:CE60)</f>
        <v>52.666666666666664</v>
      </c>
      <c r="CG60" s="10">
        <v>54</v>
      </c>
      <c r="CH60" s="2">
        <v>49</v>
      </c>
      <c r="CI60" s="2">
        <v>50</v>
      </c>
      <c r="CJ60" s="2">
        <v>48</v>
      </c>
      <c r="CK60" s="2">
        <v>54</v>
      </c>
      <c r="CL60" s="241">
        <v>43</v>
      </c>
      <c r="CM60" s="219">
        <f>AVERAGE(CG60:CL60)</f>
        <v>49.666666666666664</v>
      </c>
    </row>
    <row r="61" spans="1:91" ht="15.75" thickBot="1" x14ac:dyDescent="0.3">
      <c r="A61" s="177" t="s">
        <v>75</v>
      </c>
      <c r="B61" s="363">
        <v>4200</v>
      </c>
      <c r="C61" s="344">
        <v>4216</v>
      </c>
      <c r="D61" s="364">
        <v>4249</v>
      </c>
      <c r="E61" s="327">
        <v>4201</v>
      </c>
      <c r="F61" s="327">
        <v>4253</v>
      </c>
      <c r="G61" s="327">
        <v>4304</v>
      </c>
      <c r="H61" s="171"/>
      <c r="I61" s="327"/>
      <c r="J61" s="327"/>
      <c r="K61" s="327"/>
      <c r="L61" s="327"/>
      <c r="M61" s="327"/>
      <c r="N61" s="327"/>
      <c r="O61" s="171"/>
      <c r="P61" s="327"/>
      <c r="Q61" s="327"/>
      <c r="R61" s="327"/>
      <c r="S61" s="327"/>
      <c r="T61" s="327"/>
      <c r="U61" s="365"/>
      <c r="V61" s="171">
        <f>AVERAGE(B61:G61)</f>
        <v>4237.166666666667</v>
      </c>
      <c r="X61" s="163" t="s">
        <v>75</v>
      </c>
      <c r="Y61" s="158">
        <v>4200</v>
      </c>
      <c r="Z61" s="159">
        <v>4216</v>
      </c>
      <c r="AA61" s="285">
        <v>4249</v>
      </c>
      <c r="AB61" s="286">
        <v>4201</v>
      </c>
      <c r="AC61" s="286">
        <v>4253</v>
      </c>
      <c r="AD61" s="286">
        <v>4304</v>
      </c>
      <c r="AE61" s="162"/>
      <c r="AF61" s="286"/>
      <c r="AG61" s="286"/>
      <c r="AH61" s="286"/>
      <c r="AI61" s="286"/>
      <c r="AJ61" s="286"/>
      <c r="AK61" s="286"/>
      <c r="AL61" s="162"/>
      <c r="AM61" s="286"/>
      <c r="AN61" s="286"/>
      <c r="AO61" s="286"/>
      <c r="AP61" s="286"/>
      <c r="AQ61" s="286"/>
      <c r="AR61" s="287"/>
      <c r="AS61" s="162">
        <f>AVERAGE(Y61:AD61)</f>
        <v>4237.166666666667</v>
      </c>
      <c r="AU61" s="38" t="s">
        <v>75</v>
      </c>
      <c r="AV61" s="88">
        <v>3918</v>
      </c>
      <c r="AW61" s="89">
        <v>3699</v>
      </c>
      <c r="AX61" s="96">
        <v>3902</v>
      </c>
      <c r="AY61" s="37">
        <v>3938</v>
      </c>
      <c r="AZ61" s="37">
        <v>3896</v>
      </c>
      <c r="BA61" s="37">
        <v>3925</v>
      </c>
      <c r="BB61" s="36"/>
      <c r="BC61" s="37"/>
      <c r="BD61" s="37"/>
      <c r="BE61" s="37"/>
      <c r="BF61" s="37"/>
      <c r="BG61" s="37"/>
      <c r="BH61" s="37"/>
      <c r="BI61" s="36"/>
      <c r="BJ61" s="37"/>
      <c r="BK61" s="37"/>
      <c r="BL61" s="37"/>
      <c r="BM61" s="37"/>
      <c r="BN61" s="37"/>
      <c r="BO61" s="223"/>
      <c r="BP61" s="36">
        <v>3879.6666666666665</v>
      </c>
      <c r="BR61" s="63" t="s">
        <v>75</v>
      </c>
      <c r="BS61" s="115">
        <v>3918</v>
      </c>
      <c r="BT61" s="116">
        <v>3699</v>
      </c>
      <c r="BU61" s="113">
        <v>3902</v>
      </c>
      <c r="BV61" s="59">
        <v>3938</v>
      </c>
      <c r="BW61" s="59">
        <v>3896</v>
      </c>
      <c r="BX61" s="59">
        <v>3925</v>
      </c>
      <c r="BY61" s="60"/>
      <c r="BZ61" s="59"/>
      <c r="CA61" s="59"/>
      <c r="CB61" s="59"/>
      <c r="CC61" s="59"/>
      <c r="CD61" s="59"/>
      <c r="CE61" s="59"/>
      <c r="CF61" s="60"/>
      <c r="CG61" s="59"/>
      <c r="CH61" s="59"/>
      <c r="CI61" s="59"/>
      <c r="CJ61" s="59"/>
      <c r="CK61" s="59"/>
      <c r="CL61" s="225"/>
      <c r="CM61" s="60">
        <f>AVERAGE(BS61:BX61)</f>
        <v>3879.6666666666665</v>
      </c>
    </row>
    <row r="62" spans="1:91" ht="15.75" thickBot="1" x14ac:dyDescent="0.3">
      <c r="A62" s="366" t="s">
        <v>76</v>
      </c>
      <c r="B62" s="374">
        <f>B59-(4237.167+(AVERAGE($B$60:$G$60)))</f>
        <v>20234.999666666667</v>
      </c>
      <c r="C62" s="368">
        <f t="shared" ref="C62:G62" si="0">C59-(4237.167+(AVERAGE($B$60:$G$60)))</f>
        <v>26712.999666666667</v>
      </c>
      <c r="D62" s="368">
        <f t="shared" si="0"/>
        <v>22704.999666666667</v>
      </c>
      <c r="E62" s="368">
        <f t="shared" si="0"/>
        <v>33555.99966666667</v>
      </c>
      <c r="F62" s="368">
        <f t="shared" si="0"/>
        <v>28401.999666666667</v>
      </c>
      <c r="G62" s="375">
        <f t="shared" si="0"/>
        <v>9074.9996666666666</v>
      </c>
      <c r="H62" s="371">
        <f>AVERAGE(B62:G62)</f>
        <v>23447.666333333331</v>
      </c>
      <c r="I62" s="374">
        <f>I59-(4237.167+(AVERAGE($I$60:$N$60)))</f>
        <v>3840.6663333333327</v>
      </c>
      <c r="J62" s="368">
        <f t="shared" ref="J62:N62" si="1">J59-(4237.167+(AVERAGE($I$60:$N$60)))</f>
        <v>6285.6663333333327</v>
      </c>
      <c r="K62" s="368">
        <f t="shared" si="1"/>
        <v>6230.6663333333327</v>
      </c>
      <c r="L62" s="368">
        <f t="shared" si="1"/>
        <v>7325.6663333333327</v>
      </c>
      <c r="M62" s="368">
        <f t="shared" si="1"/>
        <v>5128.6663333333327</v>
      </c>
      <c r="N62" s="375">
        <f t="shared" si="1"/>
        <v>2462.6663333333327</v>
      </c>
      <c r="O62" s="371">
        <f>AVERAGE(I62:N62)</f>
        <v>5212.3329999999996</v>
      </c>
      <c r="P62" s="374">
        <f>P59-(4237.167+(AVERAGE($P$60:$U$60)))</f>
        <v>6836.9996666666666</v>
      </c>
      <c r="Q62" s="368">
        <f t="shared" ref="Q62:U62" si="2">Q59-(4237.167+(AVERAGE($P$60:$U$60)))</f>
        <v>4770.9996666666666</v>
      </c>
      <c r="R62" s="368">
        <f t="shared" si="2"/>
        <v>5650.9996666666666</v>
      </c>
      <c r="S62" s="368">
        <f t="shared" si="2"/>
        <v>6945.9996666666666</v>
      </c>
      <c r="T62" s="368">
        <f t="shared" si="2"/>
        <v>6599.9996666666666</v>
      </c>
      <c r="U62" s="375">
        <f t="shared" si="2"/>
        <v>4794.9996666666666</v>
      </c>
      <c r="V62" s="371">
        <f>AVERAGE(P62:U62)</f>
        <v>5933.3329999999996</v>
      </c>
      <c r="X62" s="277" t="s">
        <v>76</v>
      </c>
      <c r="Y62" s="278">
        <f>Y59-(4237.167+(AVERAGE($Y$60:$AD$60)))</f>
        <v>2847.8329999999996</v>
      </c>
      <c r="Z62" s="279">
        <f t="shared" ref="Z62:AD62" si="3">Z59-(4237.167+(AVERAGE($Y$60:$AD$60)))</f>
        <v>9719.8329999999987</v>
      </c>
      <c r="AA62" s="279">
        <f t="shared" si="3"/>
        <v>12057.832999999999</v>
      </c>
      <c r="AB62" s="279">
        <f t="shared" si="3"/>
        <v>10850.832999999999</v>
      </c>
      <c r="AC62" s="279">
        <f t="shared" si="3"/>
        <v>13206.832999999999</v>
      </c>
      <c r="AD62" s="280">
        <f t="shared" si="3"/>
        <v>13360.832999999999</v>
      </c>
      <c r="AE62" s="283">
        <f>AVERAGE(Y62:AD62)</f>
        <v>10340.666333333333</v>
      </c>
      <c r="AF62" s="278">
        <f>AF59-(4237.167+(AVERAGE($AF$60:$AK$60)))</f>
        <v>1472.1663333333327</v>
      </c>
      <c r="AG62" s="279">
        <f t="shared" ref="AG62:AK62" si="4">AG59-(4237.167+(AVERAGE($AF$60:$AK$60)))</f>
        <v>3667.1663333333327</v>
      </c>
      <c r="AH62" s="279">
        <f t="shared" si="4"/>
        <v>4947.1663333333327</v>
      </c>
      <c r="AI62" s="279">
        <f t="shared" si="4"/>
        <v>3758.1663333333327</v>
      </c>
      <c r="AJ62" s="279">
        <f t="shared" si="4"/>
        <v>4326.1663333333327</v>
      </c>
      <c r="AK62" s="280">
        <f t="shared" si="4"/>
        <v>5217.1663333333327</v>
      </c>
      <c r="AL62" s="283">
        <f>AVERAGE(AF62:AK62)</f>
        <v>3897.9996666666666</v>
      </c>
      <c r="AM62" s="278">
        <f>AM59-(4237.167+(AVERAGE($AM$60:$AR$60)))</f>
        <v>6238.6663333333327</v>
      </c>
      <c r="AN62" s="279">
        <f t="shared" ref="AN62:AR62" si="5">AN59-(4237.167+(AVERAGE($AM$60:$AR$60)))</f>
        <v>12393.666333333333</v>
      </c>
      <c r="AO62" s="279">
        <f t="shared" si="5"/>
        <v>10760.666333333333</v>
      </c>
      <c r="AP62" s="279">
        <f t="shared" si="5"/>
        <v>16167.666333333333</v>
      </c>
      <c r="AQ62" s="279">
        <f t="shared" si="5"/>
        <v>9861.6663333333327</v>
      </c>
      <c r="AR62" s="280">
        <f t="shared" si="5"/>
        <v>9195.6663333333327</v>
      </c>
      <c r="AS62" s="283">
        <f>AVERAGE(AM62:AR62)</f>
        <v>10769.666333333333</v>
      </c>
      <c r="AU62" s="226" t="s">
        <v>76</v>
      </c>
      <c r="AV62" s="242">
        <v>24724.166333333334</v>
      </c>
      <c r="AW62" s="228">
        <v>28976.166333333334</v>
      </c>
      <c r="AX62" s="228">
        <v>32506.166333333334</v>
      </c>
      <c r="AY62" s="228">
        <v>37760.166333333334</v>
      </c>
      <c r="AZ62" s="228">
        <v>46339.166333333334</v>
      </c>
      <c r="BA62" s="243">
        <v>37263.166333333334</v>
      </c>
      <c r="BB62" s="231">
        <v>34594.832999999999</v>
      </c>
      <c r="BC62" s="242">
        <v>34159.49966666667</v>
      </c>
      <c r="BD62" s="228">
        <v>49283.49966666667</v>
      </c>
      <c r="BE62" s="228">
        <v>61261.49966666667</v>
      </c>
      <c r="BF62" s="228">
        <v>47977.49966666667</v>
      </c>
      <c r="BG62" s="228">
        <v>36548.49966666667</v>
      </c>
      <c r="BH62" s="243">
        <v>31468.499666666667</v>
      </c>
      <c r="BI62" s="231">
        <v>43449.833000000006</v>
      </c>
      <c r="BJ62" s="242">
        <v>34535.666333333334</v>
      </c>
      <c r="BK62" s="228">
        <v>38960.666333333334</v>
      </c>
      <c r="BL62" s="228">
        <v>41436.666333333334</v>
      </c>
      <c r="BM62" s="228">
        <v>42988.666333333334</v>
      </c>
      <c r="BN62" s="228">
        <v>42791.666333333334</v>
      </c>
      <c r="BO62" s="243">
        <v>36226.666333333334</v>
      </c>
      <c r="BP62" s="231">
        <v>39489.999666666663</v>
      </c>
      <c r="BR62" s="232" t="s">
        <v>76</v>
      </c>
      <c r="BS62" s="244">
        <f>BS59-(3879.667+(AVERAGE(BS60:BX60)))</f>
        <v>13071.999666666667</v>
      </c>
      <c r="BT62" s="234">
        <f>BT59-(3879.667+(AVERAGE(BS60:BX60)))</f>
        <v>17644.999666666667</v>
      </c>
      <c r="BU62" s="234">
        <f>BU59-(3879.667+(AVERAGE(BS60:BX60)))</f>
        <v>15137.999666666667</v>
      </c>
      <c r="BV62" s="234">
        <f>BV59-(3879.667+(AVERAGE(BS60:BX60)))</f>
        <v>24477.999666666667</v>
      </c>
      <c r="BW62" s="234">
        <f>BW59-(3879.667+(AVERAGE(BS60:BX60)))</f>
        <v>13526.999666666667</v>
      </c>
      <c r="BX62" s="245">
        <f>BX59-(3879.667+(AVERAGE(BS60:BX60)))</f>
        <v>14586.999666666667</v>
      </c>
      <c r="BY62" s="237">
        <f>AVERAGE(BS62:BX62)</f>
        <v>16407.833000000002</v>
      </c>
      <c r="BZ62" s="244">
        <f>BZ59-(3879.667+(AVERAGE(BZ60:CE60)))</f>
        <v>38846.666333333334</v>
      </c>
      <c r="CA62" s="234">
        <f>CA59-(3879.667+(AVERAGE(BZ60:CE60)))</f>
        <v>36419.666333333334</v>
      </c>
      <c r="CB62" s="234">
        <f>CB59-(3879.667+(AVERAGE(BZ60:CE60)))</f>
        <v>32895.666333333334</v>
      </c>
      <c r="CC62" s="234">
        <f>CC59-(3879.667+(AVERAGE(BZ60:CE60)))</f>
        <v>39974.666333333334</v>
      </c>
      <c r="CD62" s="234">
        <f>CD59-(3879.667+(AVERAGE(BZ60:CE60)))</f>
        <v>36767.666333333334</v>
      </c>
      <c r="CE62" s="245">
        <f>CE59-(3879.667+(AVERAGE(BZ60:CE60)))</f>
        <v>53552.666333333334</v>
      </c>
      <c r="CF62" s="237">
        <f>AVERAGE(BZ62:CE62)</f>
        <v>39742.832999999999</v>
      </c>
      <c r="CG62" s="244">
        <f>CG59-(3879.667+(AVERAGE(CG60:CL60)))</f>
        <v>25217.666333333334</v>
      </c>
      <c r="CH62" s="234">
        <f>CH59-(3879.667+(AVERAGE(CG60:CL60)))</f>
        <v>22105.666333333334</v>
      </c>
      <c r="CI62" s="234">
        <f>CI59-(3879.667+(AVERAGE(CG60:CL60)))</f>
        <v>25770.666333333334</v>
      </c>
      <c r="CJ62" s="234">
        <f>CJ59-(3879.667+(AVERAGE(CG60:CL60)))</f>
        <v>24104.666333333334</v>
      </c>
      <c r="CK62" s="234">
        <f>CK59-(3879.667+(AVERAGE(CG60:CL60)))</f>
        <v>24940.666333333334</v>
      </c>
      <c r="CL62" s="245">
        <f>CL59-(3879.667+(AVERAGE(CG60:CL60)))</f>
        <v>28891.666333333334</v>
      </c>
      <c r="CM62" s="237">
        <f>AVERAGE(CG62:CL62)</f>
        <v>25171.832999999999</v>
      </c>
    </row>
    <row r="63" spans="1:91" x14ac:dyDescent="0.25">
      <c r="H63" s="292"/>
      <c r="I63" s="292"/>
      <c r="O63" s="292"/>
      <c r="P63" s="292"/>
      <c r="V63" s="292"/>
    </row>
    <row r="64" spans="1:91" x14ac:dyDescent="0.25">
      <c r="H64"/>
      <c r="O64"/>
      <c r="V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</sheetData>
  <mergeCells count="246">
    <mergeCell ref="CM57:CM58"/>
    <mergeCell ref="CG50:CL50"/>
    <mergeCell ref="BR57:BR58"/>
    <mergeCell ref="BS57:BX57"/>
    <mergeCell ref="BY57:BY58"/>
    <mergeCell ref="BZ57:CE57"/>
    <mergeCell ref="CF57:CF58"/>
    <mergeCell ref="CG57:CL57"/>
    <mergeCell ref="BP57:BP58"/>
    <mergeCell ref="BR50:BR51"/>
    <mergeCell ref="BS50:BX50"/>
    <mergeCell ref="BY50:BY51"/>
    <mergeCell ref="BZ50:CE50"/>
    <mergeCell ref="CF50:CF51"/>
    <mergeCell ref="X50:X51"/>
    <mergeCell ref="Y50:AD50"/>
    <mergeCell ref="AE50:AE51"/>
    <mergeCell ref="AF50:AK50"/>
    <mergeCell ref="AL50:AL51"/>
    <mergeCell ref="BJ50:BO50"/>
    <mergeCell ref="AU57:AU58"/>
    <mergeCell ref="AV57:BA57"/>
    <mergeCell ref="BB57:BB58"/>
    <mergeCell ref="BC57:BH57"/>
    <mergeCell ref="BI57:BI58"/>
    <mergeCell ref="BJ57:BO57"/>
    <mergeCell ref="AS57:AS58"/>
    <mergeCell ref="AU50:AU51"/>
    <mergeCell ref="AV50:BA50"/>
    <mergeCell ref="BB50:BB51"/>
    <mergeCell ref="BC50:BH50"/>
    <mergeCell ref="BI50:BI51"/>
    <mergeCell ref="BS36:BX36"/>
    <mergeCell ref="BY36:BY37"/>
    <mergeCell ref="BZ36:CE36"/>
    <mergeCell ref="CF36:CF37"/>
    <mergeCell ref="A57:A58"/>
    <mergeCell ref="B57:G57"/>
    <mergeCell ref="H57:H58"/>
    <mergeCell ref="I57:N57"/>
    <mergeCell ref="O57:O58"/>
    <mergeCell ref="P57:U57"/>
    <mergeCell ref="A50:A51"/>
    <mergeCell ref="B50:G50"/>
    <mergeCell ref="H50:H51"/>
    <mergeCell ref="I50:N50"/>
    <mergeCell ref="O50:O51"/>
    <mergeCell ref="P50:U50"/>
    <mergeCell ref="AM50:AR50"/>
    <mergeCell ref="X57:X58"/>
    <mergeCell ref="Y57:AD57"/>
    <mergeCell ref="AE57:AE58"/>
    <mergeCell ref="AF57:AK57"/>
    <mergeCell ref="AL57:AL58"/>
    <mergeCell ref="AM57:AR57"/>
    <mergeCell ref="V57:V58"/>
    <mergeCell ref="CM29:CM30"/>
    <mergeCell ref="AU36:AU37"/>
    <mergeCell ref="AV36:BA36"/>
    <mergeCell ref="BB36:BB37"/>
    <mergeCell ref="BC36:BH36"/>
    <mergeCell ref="BI36:BI37"/>
    <mergeCell ref="BS43:BX43"/>
    <mergeCell ref="BY43:BY44"/>
    <mergeCell ref="BZ43:CE43"/>
    <mergeCell ref="CF43:CF44"/>
    <mergeCell ref="CG43:CL43"/>
    <mergeCell ref="CM43:CM44"/>
    <mergeCell ref="CG36:CL36"/>
    <mergeCell ref="CM36:CM37"/>
    <mergeCell ref="AU43:AU44"/>
    <mergeCell ref="AV43:BA43"/>
    <mergeCell ref="BB43:BB44"/>
    <mergeCell ref="BC43:BH43"/>
    <mergeCell ref="BI43:BI44"/>
    <mergeCell ref="BJ43:BO43"/>
    <mergeCell ref="BP43:BP44"/>
    <mergeCell ref="BR43:BR44"/>
    <mergeCell ref="BJ36:BO36"/>
    <mergeCell ref="BR36:BR37"/>
    <mergeCell ref="BP29:BP30"/>
    <mergeCell ref="BR29:BR30"/>
    <mergeCell ref="BS29:BX29"/>
    <mergeCell ref="BR22:BR23"/>
    <mergeCell ref="BS22:BX22"/>
    <mergeCell ref="BY22:BY23"/>
    <mergeCell ref="BZ22:CE22"/>
    <mergeCell ref="CF22:CF23"/>
    <mergeCell ref="CG22:CL22"/>
    <mergeCell ref="BY29:BY30"/>
    <mergeCell ref="BZ29:CE29"/>
    <mergeCell ref="CF29:CF30"/>
    <mergeCell ref="CG29:CL29"/>
    <mergeCell ref="CF15:CF16"/>
    <mergeCell ref="CG15:CL15"/>
    <mergeCell ref="CM15:CM16"/>
    <mergeCell ref="AU22:AU23"/>
    <mergeCell ref="AV22:BA22"/>
    <mergeCell ref="BB22:BB23"/>
    <mergeCell ref="BC22:BH22"/>
    <mergeCell ref="BI22:BI23"/>
    <mergeCell ref="BJ22:BO22"/>
    <mergeCell ref="BP22:BP23"/>
    <mergeCell ref="BJ15:BO15"/>
    <mergeCell ref="BP15:BP16"/>
    <mergeCell ref="BR15:BR16"/>
    <mergeCell ref="BS15:BX15"/>
    <mergeCell ref="BY15:BY16"/>
    <mergeCell ref="BZ15:CE15"/>
    <mergeCell ref="CM22:CM23"/>
    <mergeCell ref="CM1:CM2"/>
    <mergeCell ref="AU8:AU9"/>
    <mergeCell ref="AV8:BA8"/>
    <mergeCell ref="BB8:BB9"/>
    <mergeCell ref="BC8:BH8"/>
    <mergeCell ref="BI8:BI9"/>
    <mergeCell ref="BJ8:BO8"/>
    <mergeCell ref="BP8:BP9"/>
    <mergeCell ref="BR8:BR9"/>
    <mergeCell ref="BS8:BX8"/>
    <mergeCell ref="BR1:BR2"/>
    <mergeCell ref="BS1:BX1"/>
    <mergeCell ref="BY1:BY2"/>
    <mergeCell ref="BZ1:CE1"/>
    <mergeCell ref="CF1:CF2"/>
    <mergeCell ref="CG1:CL1"/>
    <mergeCell ref="BP1:BP2"/>
    <mergeCell ref="BY8:BY9"/>
    <mergeCell ref="BZ8:CE8"/>
    <mergeCell ref="CF8:CF9"/>
    <mergeCell ref="CG8:CL8"/>
    <mergeCell ref="CM8:CM9"/>
    <mergeCell ref="AM43:AR43"/>
    <mergeCell ref="AS43:AS44"/>
    <mergeCell ref="AU1:AU2"/>
    <mergeCell ref="AV1:BA1"/>
    <mergeCell ref="BB1:BB2"/>
    <mergeCell ref="BC1:BH1"/>
    <mergeCell ref="BI1:BI2"/>
    <mergeCell ref="BJ1:BO1"/>
    <mergeCell ref="AM36:AR36"/>
    <mergeCell ref="AS36:AS37"/>
    <mergeCell ref="AM15:AR15"/>
    <mergeCell ref="AS15:AS16"/>
    <mergeCell ref="AU15:AU16"/>
    <mergeCell ref="AV15:BA15"/>
    <mergeCell ref="BB15:BB16"/>
    <mergeCell ref="BC15:BH15"/>
    <mergeCell ref="BI15:BI16"/>
    <mergeCell ref="AU29:AU30"/>
    <mergeCell ref="AV29:BA29"/>
    <mergeCell ref="BB29:BB30"/>
    <mergeCell ref="BC29:BH29"/>
    <mergeCell ref="BI29:BI30"/>
    <mergeCell ref="BJ29:BO29"/>
    <mergeCell ref="AS8:AS9"/>
    <mergeCell ref="P43:U43"/>
    <mergeCell ref="V43:V44"/>
    <mergeCell ref="X43:X44"/>
    <mergeCell ref="Y43:AD43"/>
    <mergeCell ref="AE43:AE44"/>
    <mergeCell ref="AF43:AK43"/>
    <mergeCell ref="AE36:AE37"/>
    <mergeCell ref="AF36:AK36"/>
    <mergeCell ref="AL36:AL37"/>
    <mergeCell ref="AL43:AL44"/>
    <mergeCell ref="A43:A44"/>
    <mergeCell ref="B43:G43"/>
    <mergeCell ref="H43:H44"/>
    <mergeCell ref="I43:N43"/>
    <mergeCell ref="O43:O44"/>
    <mergeCell ref="AM29:AR29"/>
    <mergeCell ref="AS29:AS30"/>
    <mergeCell ref="A36:A37"/>
    <mergeCell ref="B36:G36"/>
    <mergeCell ref="H36:H37"/>
    <mergeCell ref="I36:N36"/>
    <mergeCell ref="O36:O37"/>
    <mergeCell ref="P36:U36"/>
    <mergeCell ref="X36:X37"/>
    <mergeCell ref="Y36:AD36"/>
    <mergeCell ref="V29:V30"/>
    <mergeCell ref="X29:X30"/>
    <mergeCell ref="Y29:AD29"/>
    <mergeCell ref="AE29:AE30"/>
    <mergeCell ref="AF29:AK29"/>
    <mergeCell ref="AL29:AL30"/>
    <mergeCell ref="A29:A30"/>
    <mergeCell ref="B29:G29"/>
    <mergeCell ref="H29:H30"/>
    <mergeCell ref="I29:N29"/>
    <mergeCell ref="O29:O30"/>
    <mergeCell ref="P29:U29"/>
    <mergeCell ref="Y22:AD22"/>
    <mergeCell ref="AE22:AE23"/>
    <mergeCell ref="AF22:AK22"/>
    <mergeCell ref="AL22:AL23"/>
    <mergeCell ref="AM22:AR22"/>
    <mergeCell ref="AS22:AS23"/>
    <mergeCell ref="A22:A23"/>
    <mergeCell ref="B22:G22"/>
    <mergeCell ref="H22:H23"/>
    <mergeCell ref="I22:N22"/>
    <mergeCell ref="O22:O23"/>
    <mergeCell ref="P22:U22"/>
    <mergeCell ref="V22:V23"/>
    <mergeCell ref="X22:X23"/>
    <mergeCell ref="V15:V16"/>
    <mergeCell ref="X15:X16"/>
    <mergeCell ref="AE8:AE9"/>
    <mergeCell ref="Y15:AD15"/>
    <mergeCell ref="AE15:AE16"/>
    <mergeCell ref="AF15:AK15"/>
    <mergeCell ref="AL15:AL16"/>
    <mergeCell ref="A15:A16"/>
    <mergeCell ref="B15:G15"/>
    <mergeCell ref="H15:H16"/>
    <mergeCell ref="I15:N15"/>
    <mergeCell ref="O15:O16"/>
    <mergeCell ref="P15:U15"/>
    <mergeCell ref="AF8:AK8"/>
    <mergeCell ref="AL8:AL9"/>
    <mergeCell ref="AM8:AR8"/>
    <mergeCell ref="AM1:AR1"/>
    <mergeCell ref="AS1:AS2"/>
    <mergeCell ref="A8:A9"/>
    <mergeCell ref="B8:G8"/>
    <mergeCell ref="H8:H9"/>
    <mergeCell ref="I8:N8"/>
    <mergeCell ref="O8:O9"/>
    <mergeCell ref="P8:U8"/>
    <mergeCell ref="V8:V9"/>
    <mergeCell ref="X8:X9"/>
    <mergeCell ref="V1:V2"/>
    <mergeCell ref="X1:X2"/>
    <mergeCell ref="Y1:AD1"/>
    <mergeCell ref="AE1:AE2"/>
    <mergeCell ref="AF1:AK1"/>
    <mergeCell ref="AL1:AL2"/>
    <mergeCell ref="A1:A2"/>
    <mergeCell ref="B1:G1"/>
    <mergeCell ref="H1:H2"/>
    <mergeCell ref="I1:N1"/>
    <mergeCell ref="O1:O2"/>
    <mergeCell ref="P1:U1"/>
    <mergeCell ref="Y8:AD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430C4-304E-455F-88BD-04DFB5D7E7EB}">
  <dimension ref="A1:K9"/>
  <sheetViews>
    <sheetView workbookViewId="0">
      <selection activeCell="I17" sqref="I17"/>
    </sheetView>
  </sheetViews>
  <sheetFormatPr defaultRowHeight="15" x14ac:dyDescent="0.25"/>
  <cols>
    <col min="1" max="1" width="42.42578125" customWidth="1"/>
    <col min="2" max="2" width="27.42578125" customWidth="1"/>
    <col min="4" max="5" width="10.7109375" customWidth="1"/>
    <col min="6" max="6" width="12.140625" customWidth="1"/>
    <col min="7" max="7" width="8.140625" customWidth="1"/>
    <col min="8" max="8" width="11.28515625" customWidth="1"/>
    <col min="9" max="9" width="11.7109375" customWidth="1"/>
    <col min="10" max="10" width="12" customWidth="1"/>
  </cols>
  <sheetData>
    <row r="1" spans="1:11" x14ac:dyDescent="0.25">
      <c r="A1" s="666" t="s">
        <v>0</v>
      </c>
      <c r="B1" s="668" t="s">
        <v>1</v>
      </c>
      <c r="C1" s="668" t="s">
        <v>2</v>
      </c>
      <c r="D1" s="673" t="s">
        <v>27</v>
      </c>
      <c r="E1" s="674"/>
      <c r="F1" s="674"/>
      <c r="G1" s="675"/>
      <c r="H1" s="673" t="s">
        <v>26</v>
      </c>
      <c r="I1" s="674"/>
      <c r="J1" s="674"/>
      <c r="K1" s="675"/>
    </row>
    <row r="2" spans="1:11" ht="15.75" thickBot="1" x14ac:dyDescent="0.3">
      <c r="A2" s="667"/>
      <c r="B2" s="669"/>
      <c r="C2" s="669"/>
      <c r="D2" s="13" t="s">
        <v>3</v>
      </c>
      <c r="E2" s="14" t="s">
        <v>4</v>
      </c>
      <c r="F2" s="393" t="s">
        <v>5</v>
      </c>
      <c r="G2" s="394" t="s">
        <v>115</v>
      </c>
      <c r="H2" s="395" t="s">
        <v>3</v>
      </c>
      <c r="I2" s="14" t="s">
        <v>4</v>
      </c>
      <c r="J2" s="393" t="s">
        <v>5</v>
      </c>
      <c r="K2" s="394" t="s">
        <v>115</v>
      </c>
    </row>
    <row r="3" spans="1:11" x14ac:dyDescent="0.25">
      <c r="A3" s="391" t="s">
        <v>25</v>
      </c>
      <c r="B3" s="663" t="s">
        <v>22</v>
      </c>
      <c r="C3" s="663" t="s">
        <v>23</v>
      </c>
      <c r="D3" s="676" t="s">
        <v>24</v>
      </c>
      <c r="E3" s="679" t="s">
        <v>24</v>
      </c>
      <c r="F3" s="682" t="s">
        <v>24</v>
      </c>
      <c r="G3" s="670" t="s">
        <v>24</v>
      </c>
      <c r="H3" s="676">
        <v>1</v>
      </c>
      <c r="I3" s="679">
        <v>1</v>
      </c>
      <c r="J3" s="682">
        <v>6</v>
      </c>
      <c r="K3" s="670">
        <v>2</v>
      </c>
    </row>
    <row r="4" spans="1:11" x14ac:dyDescent="0.25">
      <c r="A4" s="216" t="s">
        <v>16</v>
      </c>
      <c r="B4" s="664"/>
      <c r="C4" s="664"/>
      <c r="D4" s="677"/>
      <c r="E4" s="680"/>
      <c r="F4" s="683"/>
      <c r="G4" s="671"/>
      <c r="H4" s="677"/>
      <c r="I4" s="680"/>
      <c r="J4" s="683"/>
      <c r="K4" s="671"/>
    </row>
    <row r="5" spans="1:11" x14ac:dyDescent="0.25">
      <c r="A5" s="354" t="s">
        <v>12</v>
      </c>
      <c r="B5" s="664"/>
      <c r="C5" s="664"/>
      <c r="D5" s="677"/>
      <c r="E5" s="680"/>
      <c r="F5" s="683"/>
      <c r="G5" s="671"/>
      <c r="H5" s="677"/>
      <c r="I5" s="680"/>
      <c r="J5" s="683"/>
      <c r="K5" s="671"/>
    </row>
    <row r="6" spans="1:11" ht="15.75" thickBot="1" x14ac:dyDescent="0.3">
      <c r="A6" s="392" t="s">
        <v>11</v>
      </c>
      <c r="B6" s="665"/>
      <c r="C6" s="665"/>
      <c r="D6" s="678"/>
      <c r="E6" s="681"/>
      <c r="F6" s="684"/>
      <c r="G6" s="672"/>
      <c r="H6" s="678"/>
      <c r="I6" s="681"/>
      <c r="J6" s="684"/>
      <c r="K6" s="672"/>
    </row>
    <row r="8" spans="1:11" x14ac:dyDescent="0.25">
      <c r="B8" s="1"/>
      <c r="C8" s="1"/>
      <c r="D8" s="1"/>
    </row>
    <row r="9" spans="1:11" x14ac:dyDescent="0.25">
      <c r="B9" s="1"/>
      <c r="C9" s="1"/>
      <c r="D9" s="1"/>
    </row>
  </sheetData>
  <mergeCells count="15">
    <mergeCell ref="K3:K6"/>
    <mergeCell ref="H1:K1"/>
    <mergeCell ref="D1:G1"/>
    <mergeCell ref="H3:H6"/>
    <mergeCell ref="I3:I6"/>
    <mergeCell ref="J3:J6"/>
    <mergeCell ref="D3:D6"/>
    <mergeCell ref="E3:E6"/>
    <mergeCell ref="F3:F6"/>
    <mergeCell ref="G3:G6"/>
    <mergeCell ref="B3:B6"/>
    <mergeCell ref="C3:C6"/>
    <mergeCell ref="A1:A2"/>
    <mergeCell ref="B1:B2"/>
    <mergeCell ref="C1:C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CDFC7-99E5-4AC3-97B2-4774135C8788}">
  <dimension ref="A1:K22"/>
  <sheetViews>
    <sheetView tabSelected="1" workbookViewId="0">
      <selection activeCell="E10" sqref="E10"/>
    </sheetView>
  </sheetViews>
  <sheetFormatPr defaultRowHeight="15" x14ac:dyDescent="0.25"/>
  <cols>
    <col min="2" max="2" width="35.5703125" customWidth="1"/>
    <col min="6" max="6" width="9.140625" customWidth="1"/>
    <col min="9" max="9" width="12" customWidth="1"/>
    <col min="11" max="11" width="20" customWidth="1"/>
  </cols>
  <sheetData>
    <row r="1" spans="1:11" x14ac:dyDescent="0.25">
      <c r="A1" s="685" t="s">
        <v>0</v>
      </c>
      <c r="B1" s="687" t="s">
        <v>104</v>
      </c>
      <c r="C1" s="689" t="s">
        <v>113</v>
      </c>
      <c r="D1" s="690"/>
      <c r="E1" s="690"/>
      <c r="F1" s="691" t="s">
        <v>108</v>
      </c>
      <c r="G1" s="692"/>
      <c r="H1" s="693"/>
    </row>
    <row r="2" spans="1:11" ht="15.75" thickBot="1" x14ac:dyDescent="0.3">
      <c r="A2" s="686"/>
      <c r="B2" s="688"/>
      <c r="C2" s="294" t="s">
        <v>105</v>
      </c>
      <c r="D2" s="295" t="s">
        <v>106</v>
      </c>
      <c r="E2" s="296" t="s">
        <v>107</v>
      </c>
      <c r="F2" s="294" t="s">
        <v>105</v>
      </c>
      <c r="G2" s="295" t="s">
        <v>106</v>
      </c>
      <c r="H2" s="297" t="s">
        <v>107</v>
      </c>
      <c r="K2" s="293"/>
    </row>
    <row r="3" spans="1:11" x14ac:dyDescent="0.25">
      <c r="A3" s="697" t="s">
        <v>8</v>
      </c>
      <c r="B3" s="30" t="s">
        <v>109</v>
      </c>
      <c r="C3" s="298" t="b">
        <v>1</v>
      </c>
      <c r="D3" s="299" t="b">
        <v>1</v>
      </c>
      <c r="E3" s="452" t="b">
        <v>1</v>
      </c>
      <c r="F3" s="298" t="b">
        <v>1</v>
      </c>
      <c r="G3" s="299" t="b">
        <v>1</v>
      </c>
      <c r="H3" s="453" t="b">
        <v>1</v>
      </c>
      <c r="J3" t="s">
        <v>127</v>
      </c>
    </row>
    <row r="4" spans="1:11" x14ac:dyDescent="0.25">
      <c r="A4" s="698"/>
      <c r="B4" s="37" t="s">
        <v>110</v>
      </c>
      <c r="C4" s="300" t="b">
        <v>1</v>
      </c>
      <c r="D4" s="301" t="b">
        <v>1</v>
      </c>
      <c r="E4" s="302" t="b">
        <v>1</v>
      </c>
      <c r="F4" s="300" t="b">
        <v>1</v>
      </c>
      <c r="G4" s="301" t="b">
        <v>1</v>
      </c>
      <c r="H4" s="303" t="b">
        <v>1</v>
      </c>
    </row>
    <row r="5" spans="1:11" x14ac:dyDescent="0.25">
      <c r="A5" s="698"/>
      <c r="B5" s="37" t="s">
        <v>111</v>
      </c>
      <c r="C5" s="300" t="b">
        <v>1</v>
      </c>
      <c r="D5" s="301" t="b">
        <v>1</v>
      </c>
      <c r="E5" s="302" t="b">
        <v>1</v>
      </c>
      <c r="F5" s="300" t="b">
        <v>1</v>
      </c>
      <c r="G5" s="301" t="b">
        <v>1</v>
      </c>
      <c r="H5" s="303" t="b">
        <v>1</v>
      </c>
    </row>
    <row r="6" spans="1:11" ht="15.75" thickBot="1" x14ac:dyDescent="0.3">
      <c r="A6" s="698"/>
      <c r="B6" s="39" t="s">
        <v>112</v>
      </c>
      <c r="C6" s="337" t="b">
        <v>1</v>
      </c>
      <c r="D6" s="338" t="b">
        <v>1</v>
      </c>
      <c r="E6" s="339" t="b">
        <v>1</v>
      </c>
      <c r="F6" s="694" t="s">
        <v>114</v>
      </c>
      <c r="G6" s="695"/>
      <c r="H6" s="696"/>
    </row>
    <row r="7" spans="1:11" x14ac:dyDescent="0.25">
      <c r="A7" s="699" t="s">
        <v>61</v>
      </c>
      <c r="B7" s="52" t="s">
        <v>109</v>
      </c>
      <c r="C7" s="304" t="b">
        <v>1</v>
      </c>
      <c r="D7" s="305" t="b">
        <v>1</v>
      </c>
      <c r="E7" s="306" t="b">
        <v>1</v>
      </c>
      <c r="F7" s="304" t="b">
        <v>1</v>
      </c>
      <c r="G7" s="305" t="b">
        <v>1</v>
      </c>
      <c r="H7" s="307" t="b">
        <v>1</v>
      </c>
    </row>
    <row r="8" spans="1:11" x14ac:dyDescent="0.25">
      <c r="A8" s="700"/>
      <c r="B8" s="59" t="s">
        <v>110</v>
      </c>
      <c r="C8" s="308" t="b">
        <v>1</v>
      </c>
      <c r="D8" s="309" t="b">
        <v>1</v>
      </c>
      <c r="E8" s="310" t="b">
        <v>1</v>
      </c>
      <c r="F8" s="308" t="b">
        <v>1</v>
      </c>
      <c r="G8" s="309" t="b">
        <v>1</v>
      </c>
      <c r="H8" s="311" t="b">
        <v>1</v>
      </c>
    </row>
    <row r="9" spans="1:11" x14ac:dyDescent="0.25">
      <c r="A9" s="700"/>
      <c r="B9" s="59" t="s">
        <v>111</v>
      </c>
      <c r="C9" s="308" t="b">
        <v>1</v>
      </c>
      <c r="D9" s="309" t="b">
        <v>1</v>
      </c>
      <c r="E9" s="310" t="b">
        <v>1</v>
      </c>
      <c r="F9" s="308" t="b">
        <v>1</v>
      </c>
      <c r="G9" s="309" t="b">
        <v>1</v>
      </c>
      <c r="H9" s="311" t="b">
        <v>1</v>
      </c>
    </row>
    <row r="10" spans="1:11" ht="15.75" thickBot="1" x14ac:dyDescent="0.3">
      <c r="A10" s="701"/>
      <c r="B10" s="62" t="s">
        <v>112</v>
      </c>
      <c r="C10" s="340" t="b">
        <v>1</v>
      </c>
      <c r="D10" s="341" t="b">
        <v>1</v>
      </c>
      <c r="E10" s="342" t="b">
        <v>1</v>
      </c>
      <c r="F10" s="694" t="s">
        <v>114</v>
      </c>
      <c r="G10" s="695"/>
      <c r="H10" s="696"/>
    </row>
    <row r="11" spans="1:11" x14ac:dyDescent="0.25">
      <c r="A11" s="702" t="s">
        <v>12</v>
      </c>
      <c r="B11" s="323" t="s">
        <v>109</v>
      </c>
      <c r="C11" s="324" t="b">
        <v>1</v>
      </c>
      <c r="D11" s="325" t="b">
        <v>1</v>
      </c>
      <c r="E11" s="326" t="b">
        <v>1</v>
      </c>
      <c r="F11" s="324" t="b">
        <v>1</v>
      </c>
      <c r="G11" s="325" t="b">
        <v>1</v>
      </c>
      <c r="H11" s="439" t="b">
        <v>1</v>
      </c>
    </row>
    <row r="12" spans="1:11" x14ac:dyDescent="0.25">
      <c r="A12" s="702"/>
      <c r="B12" s="327" t="s">
        <v>110</v>
      </c>
      <c r="C12" s="328" t="b">
        <v>1</v>
      </c>
      <c r="D12" s="329" t="b">
        <v>1</v>
      </c>
      <c r="E12" s="330" t="b">
        <v>1</v>
      </c>
      <c r="F12" s="328" t="b">
        <v>1</v>
      </c>
      <c r="G12" s="329" t="b">
        <v>1</v>
      </c>
      <c r="H12" s="331" t="b">
        <v>1</v>
      </c>
    </row>
    <row r="13" spans="1:11" x14ac:dyDescent="0.25">
      <c r="A13" s="702"/>
      <c r="B13" s="327" t="s">
        <v>111</v>
      </c>
      <c r="C13" s="328" t="b">
        <v>1</v>
      </c>
      <c r="D13" s="329" t="b">
        <v>1</v>
      </c>
      <c r="E13" s="330" t="b">
        <v>1</v>
      </c>
      <c r="F13" s="328" t="b">
        <v>1</v>
      </c>
      <c r="G13" s="329" t="b">
        <v>1</v>
      </c>
      <c r="H13" s="331" t="b">
        <v>1</v>
      </c>
    </row>
    <row r="14" spans="1:11" ht="15.75" thickBot="1" x14ac:dyDescent="0.3">
      <c r="A14" s="702"/>
      <c r="B14" s="333" t="s">
        <v>112</v>
      </c>
      <c r="C14" s="334" t="b">
        <v>1</v>
      </c>
      <c r="D14" s="335" t="b">
        <v>1</v>
      </c>
      <c r="E14" s="336" t="b">
        <v>1</v>
      </c>
      <c r="F14" s="694" t="s">
        <v>114</v>
      </c>
      <c r="G14" s="695"/>
      <c r="H14" s="696"/>
    </row>
    <row r="15" spans="1:11" x14ac:dyDescent="0.25">
      <c r="A15" s="703" t="s">
        <v>11</v>
      </c>
      <c r="B15" s="312" t="s">
        <v>109</v>
      </c>
      <c r="C15" s="313" t="b">
        <v>1</v>
      </c>
      <c r="D15" s="314" t="b">
        <v>1</v>
      </c>
      <c r="E15" s="437" t="b">
        <v>1</v>
      </c>
      <c r="F15" s="313" t="b">
        <v>1</v>
      </c>
      <c r="G15" s="314" t="b">
        <v>1</v>
      </c>
      <c r="H15" s="438" t="b">
        <v>1</v>
      </c>
    </row>
    <row r="16" spans="1:11" x14ac:dyDescent="0.25">
      <c r="A16" s="704"/>
      <c r="B16" s="286" t="s">
        <v>110</v>
      </c>
      <c r="C16" s="315" t="b">
        <v>1</v>
      </c>
      <c r="D16" s="316" t="b">
        <v>1</v>
      </c>
      <c r="E16" s="317" t="b">
        <v>1</v>
      </c>
      <c r="F16" s="315" t="b">
        <v>1</v>
      </c>
      <c r="G16" s="316" t="b">
        <v>1</v>
      </c>
      <c r="H16" s="318" t="b">
        <v>1</v>
      </c>
    </row>
    <row r="17" spans="1:8" x14ac:dyDescent="0.25">
      <c r="A17" s="704"/>
      <c r="B17" s="286" t="s">
        <v>111</v>
      </c>
      <c r="C17" s="315" t="b">
        <v>1</v>
      </c>
      <c r="D17" s="316" t="b">
        <v>1</v>
      </c>
      <c r="E17" s="317" t="b">
        <v>1</v>
      </c>
      <c r="F17" s="315" t="b">
        <v>1</v>
      </c>
      <c r="G17" s="316" t="b">
        <v>1</v>
      </c>
      <c r="H17" s="318" t="b">
        <v>1</v>
      </c>
    </row>
    <row r="18" spans="1:8" ht="15.75" thickBot="1" x14ac:dyDescent="0.3">
      <c r="A18" s="705"/>
      <c r="B18" s="319" t="s">
        <v>112</v>
      </c>
      <c r="C18" s="320" t="b">
        <v>1</v>
      </c>
      <c r="D18" s="321" t="b">
        <v>1</v>
      </c>
      <c r="E18" s="322" t="b">
        <v>1</v>
      </c>
      <c r="F18" s="694" t="s">
        <v>114</v>
      </c>
      <c r="G18" s="695"/>
      <c r="H18" s="696"/>
    </row>
    <row r="19" spans="1:8" x14ac:dyDescent="0.25">
      <c r="A19" s="1"/>
    </row>
    <row r="20" spans="1:8" x14ac:dyDescent="0.25">
      <c r="A20" s="1"/>
    </row>
    <row r="21" spans="1:8" x14ac:dyDescent="0.25">
      <c r="A21" s="1"/>
    </row>
    <row r="22" spans="1:8" x14ac:dyDescent="0.25">
      <c r="A22" s="1"/>
    </row>
  </sheetData>
  <mergeCells count="12">
    <mergeCell ref="F18:H18"/>
    <mergeCell ref="F10:H10"/>
    <mergeCell ref="F6:H6"/>
    <mergeCell ref="A3:A6"/>
    <mergeCell ref="A7:A10"/>
    <mergeCell ref="A11:A14"/>
    <mergeCell ref="A15:A18"/>
    <mergeCell ref="A1:A2"/>
    <mergeCell ref="B1:B2"/>
    <mergeCell ref="C1:E1"/>
    <mergeCell ref="F1:H1"/>
    <mergeCell ref="F14:H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1C7C0-4154-452B-A9D0-A70D298F16A1}">
  <dimension ref="A1:E5"/>
  <sheetViews>
    <sheetView workbookViewId="0">
      <selection activeCell="D15" sqref="D15"/>
    </sheetView>
  </sheetViews>
  <sheetFormatPr defaultRowHeight="15" x14ac:dyDescent="0.25"/>
  <cols>
    <col min="1" max="1" width="22.28515625" customWidth="1"/>
    <col min="2" max="2" width="20.42578125" customWidth="1"/>
    <col min="3" max="3" width="11.7109375" customWidth="1"/>
    <col min="4" max="4" width="15.5703125" customWidth="1"/>
    <col min="5" max="5" width="37.42578125" customWidth="1"/>
  </cols>
  <sheetData>
    <row r="1" spans="1:5" ht="15.75" thickBot="1" x14ac:dyDescent="0.3">
      <c r="A1" s="440" t="s">
        <v>0</v>
      </c>
      <c r="B1" s="441" t="s">
        <v>9</v>
      </c>
      <c r="C1" s="442" t="s">
        <v>10</v>
      </c>
      <c r="D1" s="441" t="s">
        <v>6</v>
      </c>
      <c r="E1" s="443" t="s">
        <v>7</v>
      </c>
    </row>
    <row r="2" spans="1:5" x14ac:dyDescent="0.25">
      <c r="A2" s="444" t="s">
        <v>8</v>
      </c>
      <c r="B2" s="444" t="s">
        <v>14</v>
      </c>
      <c r="C2" s="444" t="s">
        <v>15</v>
      </c>
      <c r="D2" s="444" t="s">
        <v>19</v>
      </c>
      <c r="E2" s="445"/>
    </row>
    <row r="3" spans="1:5" x14ac:dyDescent="0.25">
      <c r="A3" s="446" t="s">
        <v>16</v>
      </c>
      <c r="B3" s="446" t="s">
        <v>17</v>
      </c>
      <c r="C3" s="446" t="s">
        <v>18</v>
      </c>
      <c r="D3" s="446" t="s">
        <v>20</v>
      </c>
      <c r="E3" s="447"/>
    </row>
    <row r="4" spans="1:5" x14ac:dyDescent="0.25">
      <c r="A4" s="448" t="s">
        <v>12</v>
      </c>
      <c r="B4" s="448" t="s">
        <v>13</v>
      </c>
      <c r="C4" s="448">
        <v>89081402</v>
      </c>
      <c r="D4" s="448" t="s">
        <v>50</v>
      </c>
      <c r="E4" s="449"/>
    </row>
    <row r="5" spans="1:5" ht="15.75" thickBot="1" x14ac:dyDescent="0.3">
      <c r="A5" s="450" t="s">
        <v>11</v>
      </c>
      <c r="B5" s="450" t="s">
        <v>13</v>
      </c>
      <c r="C5" s="450">
        <v>94030304</v>
      </c>
      <c r="D5" s="450" t="s">
        <v>21</v>
      </c>
      <c r="E5" s="45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6E7A8-FBB4-5549-B3C2-9848F46335A7}">
  <dimension ref="A1:AA39"/>
  <sheetViews>
    <sheetView topLeftCell="C1" zoomScaleNormal="150" zoomScaleSheetLayoutView="100" workbookViewId="0">
      <selection activeCell="X41" sqref="X41"/>
    </sheetView>
  </sheetViews>
  <sheetFormatPr defaultRowHeight="15" x14ac:dyDescent="0.25"/>
  <cols>
    <col min="1" max="1" width="21" customWidth="1"/>
    <col min="13" max="13" width="29.140625" customWidth="1"/>
  </cols>
  <sheetData>
    <row r="1" spans="1:27" x14ac:dyDescent="0.25">
      <c r="A1" s="543" t="s">
        <v>65</v>
      </c>
      <c r="B1" s="543" t="s">
        <v>52</v>
      </c>
      <c r="C1" s="545" t="s">
        <v>66</v>
      </c>
      <c r="D1" s="546"/>
    </row>
    <row r="2" spans="1:27" ht="15.75" thickBot="1" x14ac:dyDescent="0.3">
      <c r="A2" s="544"/>
      <c r="B2" s="544"/>
      <c r="C2" s="12">
        <v>1</v>
      </c>
      <c r="D2" s="4">
        <v>2</v>
      </c>
    </row>
    <row r="3" spans="1:27" x14ac:dyDescent="0.25">
      <c r="A3" s="199">
        <v>1000</v>
      </c>
      <c r="B3" s="199">
        <f t="shared" ref="B3:B10" si="0">AVERAGE(C3,D3)</f>
        <v>0.94100000000000006</v>
      </c>
      <c r="C3" s="15">
        <v>0.95299999999999996</v>
      </c>
      <c r="D3" s="6">
        <v>0.92900000000000005</v>
      </c>
      <c r="M3" s="198" t="s">
        <v>64</v>
      </c>
      <c r="O3" s="720" t="s">
        <v>11</v>
      </c>
      <c r="P3" s="722" t="s">
        <v>62</v>
      </c>
      <c r="Q3" s="707"/>
      <c r="R3" s="707"/>
      <c r="S3" s="707"/>
      <c r="T3" s="707"/>
      <c r="U3" s="708"/>
      <c r="V3" s="706" t="s">
        <v>63</v>
      </c>
      <c r="W3" s="707"/>
      <c r="X3" s="707"/>
      <c r="Y3" s="707"/>
      <c r="Z3" s="707"/>
      <c r="AA3" s="708"/>
    </row>
    <row r="4" spans="1:27" ht="15.75" thickBot="1" x14ac:dyDescent="0.3">
      <c r="A4" s="18">
        <v>500</v>
      </c>
      <c r="B4" s="18">
        <f t="shared" si="0"/>
        <v>0.67300000000000004</v>
      </c>
      <c r="C4" s="11">
        <v>0.67200000000000004</v>
      </c>
      <c r="D4" s="3">
        <v>0.67400000000000004</v>
      </c>
      <c r="O4" s="721"/>
      <c r="P4" s="725">
        <v>1</v>
      </c>
      <c r="Q4" s="710"/>
      <c r="R4" s="710">
        <v>2</v>
      </c>
      <c r="S4" s="710"/>
      <c r="T4" s="710">
        <v>3</v>
      </c>
      <c r="U4" s="711"/>
      <c r="V4" s="709">
        <v>1</v>
      </c>
      <c r="W4" s="710"/>
      <c r="X4" s="710">
        <v>2</v>
      </c>
      <c r="Y4" s="710"/>
      <c r="Z4" s="710">
        <v>3</v>
      </c>
      <c r="AA4" s="711"/>
    </row>
    <row r="5" spans="1:27" x14ac:dyDescent="0.25">
      <c r="A5" s="18">
        <v>250</v>
      </c>
      <c r="B5" s="18">
        <f t="shared" si="0"/>
        <v>0.4965</v>
      </c>
      <c r="C5" s="11">
        <v>0.496</v>
      </c>
      <c r="D5" s="3">
        <v>0.497</v>
      </c>
      <c r="O5" s="184">
        <v>0</v>
      </c>
      <c r="P5" s="150">
        <v>0.20100000000000001</v>
      </c>
      <c r="Q5" s="151">
        <v>0.21199999999999999</v>
      </c>
      <c r="R5" s="151">
        <v>0.22</v>
      </c>
      <c r="S5" s="151">
        <v>0.224</v>
      </c>
      <c r="T5" s="151">
        <v>0.20899999999999999</v>
      </c>
      <c r="U5" s="185">
        <v>0.216</v>
      </c>
      <c r="V5" s="152">
        <v>0.375</v>
      </c>
      <c r="W5" s="151">
        <v>0.37</v>
      </c>
      <c r="X5" s="151">
        <v>0.41399999999999998</v>
      </c>
      <c r="Y5" s="151">
        <v>0.41</v>
      </c>
      <c r="Z5" s="151">
        <v>0.39600000000000002</v>
      </c>
      <c r="AA5" s="185">
        <v>0.38700000000000001</v>
      </c>
    </row>
    <row r="6" spans="1:27" x14ac:dyDescent="0.25">
      <c r="A6" s="18">
        <v>125</v>
      </c>
      <c r="B6" s="18">
        <f t="shared" si="0"/>
        <v>0.40100000000000002</v>
      </c>
      <c r="C6" s="11">
        <v>0.38200000000000001</v>
      </c>
      <c r="D6" s="3">
        <v>0.42</v>
      </c>
      <c r="O6" s="186">
        <v>10</v>
      </c>
      <c r="P6" s="154">
        <v>0.215</v>
      </c>
      <c r="Q6" s="155">
        <v>0.214</v>
      </c>
      <c r="R6" s="155">
        <v>0.23699999999999999</v>
      </c>
      <c r="S6" s="155">
        <v>0.255</v>
      </c>
      <c r="T6" s="155">
        <v>0.26300000000000001</v>
      </c>
      <c r="U6" s="187">
        <v>0.26100000000000001</v>
      </c>
      <c r="V6" s="156">
        <v>0.39300000000000002</v>
      </c>
      <c r="W6" s="155">
        <v>0.379</v>
      </c>
      <c r="X6" s="155">
        <v>0.46</v>
      </c>
      <c r="Y6" s="155">
        <v>0.45100000000000001</v>
      </c>
      <c r="Z6" s="155">
        <v>0.48799999999999999</v>
      </c>
      <c r="AA6" s="187">
        <v>0.48899999999999999</v>
      </c>
    </row>
    <row r="7" spans="1:27" x14ac:dyDescent="0.25">
      <c r="A7" s="18">
        <v>62.5</v>
      </c>
      <c r="B7" s="18">
        <f t="shared" si="0"/>
        <v>0.32400000000000001</v>
      </c>
      <c r="C7" s="11">
        <v>0.32200000000000001</v>
      </c>
      <c r="D7" s="3">
        <v>0.32600000000000001</v>
      </c>
      <c r="O7" s="186">
        <v>20</v>
      </c>
      <c r="P7" s="154">
        <v>0.253</v>
      </c>
      <c r="Q7" s="155">
        <v>0.246</v>
      </c>
      <c r="R7" s="155">
        <v>0.249</v>
      </c>
      <c r="S7" s="155">
        <v>0.252</v>
      </c>
      <c r="T7" s="155">
        <v>0.28599999999999998</v>
      </c>
      <c r="U7" s="187">
        <v>0.29299999999999998</v>
      </c>
      <c r="V7" s="156">
        <v>0.437</v>
      </c>
      <c r="W7" s="155">
        <v>0.42</v>
      </c>
      <c r="X7" s="155">
        <v>0.44700000000000001</v>
      </c>
      <c r="Y7" s="155">
        <v>0.432</v>
      </c>
      <c r="Z7" s="155">
        <v>0.53400000000000003</v>
      </c>
      <c r="AA7" s="187">
        <v>0.53700000000000003</v>
      </c>
    </row>
    <row r="8" spans="1:27" x14ac:dyDescent="0.25">
      <c r="A8" s="18">
        <v>31.75</v>
      </c>
      <c r="B8" s="18">
        <f t="shared" si="0"/>
        <v>0.29499999999999998</v>
      </c>
      <c r="C8" s="11">
        <v>0.28499999999999998</v>
      </c>
      <c r="D8" s="3">
        <v>0.30499999999999999</v>
      </c>
      <c r="O8" s="186">
        <v>40</v>
      </c>
      <c r="P8" s="188">
        <v>0.218</v>
      </c>
      <c r="Q8" s="189">
        <v>0.20799999999999999</v>
      </c>
      <c r="R8" s="189">
        <v>0.23</v>
      </c>
      <c r="S8" s="189">
        <v>0.217</v>
      </c>
      <c r="T8" s="189">
        <v>0.29499999999999998</v>
      </c>
      <c r="U8" s="190">
        <v>0.28899999999999998</v>
      </c>
      <c r="V8" s="191">
        <v>0.34100000000000003</v>
      </c>
      <c r="W8" s="189">
        <v>0.34200000000000003</v>
      </c>
      <c r="X8" s="189">
        <v>0.374</v>
      </c>
      <c r="Y8" s="189">
        <v>0.379</v>
      </c>
      <c r="Z8" s="189">
        <v>0.58399999999999996</v>
      </c>
      <c r="AA8" s="190">
        <v>0.58899999999999997</v>
      </c>
    </row>
    <row r="9" spans="1:27" x14ac:dyDescent="0.25">
      <c r="A9" s="18">
        <v>15</v>
      </c>
      <c r="B9" s="18">
        <f t="shared" si="0"/>
        <v>0.28899999999999998</v>
      </c>
      <c r="C9" s="11">
        <v>0.28799999999999998</v>
      </c>
      <c r="D9" s="3">
        <v>0.28999999999999998</v>
      </c>
      <c r="O9" s="186">
        <v>100</v>
      </c>
      <c r="P9" s="154">
        <v>0.217</v>
      </c>
      <c r="Q9" s="155">
        <v>0.20399999999999999</v>
      </c>
      <c r="R9" s="155">
        <v>0.21099999999999999</v>
      </c>
      <c r="S9" s="155">
        <v>0.20300000000000001</v>
      </c>
      <c r="T9" s="155">
        <v>0.215</v>
      </c>
      <c r="U9" s="187">
        <v>0.20499999999999999</v>
      </c>
      <c r="V9" s="191">
        <v>0.34599999999999997</v>
      </c>
      <c r="W9" s="189">
        <v>0.35399999999999998</v>
      </c>
      <c r="X9" s="189">
        <v>0.35399999999999998</v>
      </c>
      <c r="Y9" s="189">
        <v>0.34100000000000003</v>
      </c>
      <c r="Z9" s="189">
        <v>0.33300000000000002</v>
      </c>
      <c r="AA9" s="190">
        <v>0.34200000000000003</v>
      </c>
    </row>
    <row r="10" spans="1:27" ht="15.75" thickBot="1" x14ac:dyDescent="0.3">
      <c r="A10" s="19">
        <v>0</v>
      </c>
      <c r="B10" s="19">
        <f t="shared" si="0"/>
        <v>0.24049999999999999</v>
      </c>
      <c r="C10" s="12">
        <v>0.24099999999999999</v>
      </c>
      <c r="D10" s="4">
        <v>0.24</v>
      </c>
      <c r="O10" s="186">
        <v>120</v>
      </c>
      <c r="P10" s="154">
        <v>0.20200000000000001</v>
      </c>
      <c r="Q10" s="155">
        <v>0.193</v>
      </c>
      <c r="R10" s="155">
        <v>0.20799999999999999</v>
      </c>
      <c r="S10" s="155">
        <v>0.20399999999999999</v>
      </c>
      <c r="T10" s="155">
        <v>0.23100000000000001</v>
      </c>
      <c r="U10" s="187">
        <v>0.22900000000000001</v>
      </c>
      <c r="V10" s="191">
        <v>0.30499999999999999</v>
      </c>
      <c r="W10" s="189">
        <v>0.30599999999999999</v>
      </c>
      <c r="X10" s="189">
        <v>0.318</v>
      </c>
      <c r="Y10" s="189">
        <v>0.32500000000000001</v>
      </c>
      <c r="Z10" s="189">
        <v>0.38600000000000001</v>
      </c>
      <c r="AA10" s="190">
        <v>0.39500000000000002</v>
      </c>
    </row>
    <row r="11" spans="1:27" ht="15.75" thickBot="1" x14ac:dyDescent="0.3">
      <c r="O11" s="192">
        <v>400</v>
      </c>
      <c r="P11" s="193">
        <v>0.20799999999999999</v>
      </c>
      <c r="Q11" s="194">
        <v>0.20499999999999999</v>
      </c>
      <c r="R11" s="194">
        <v>0.20899999999999999</v>
      </c>
      <c r="S11" s="195">
        <v>0.20599999999999999</v>
      </c>
      <c r="T11" s="195">
        <v>0.22</v>
      </c>
      <c r="U11" s="196">
        <v>0.20799999999999999</v>
      </c>
      <c r="V11" s="197">
        <v>0.32200000000000001</v>
      </c>
      <c r="W11" s="195">
        <v>0.32600000000000001</v>
      </c>
      <c r="X11" s="195">
        <v>0.307</v>
      </c>
      <c r="Y11" s="195">
        <v>0.312</v>
      </c>
      <c r="Z11" s="195">
        <v>0.42099999999999999</v>
      </c>
      <c r="AA11" s="196">
        <v>0.30199999999999999</v>
      </c>
    </row>
    <row r="12" spans="1:27" x14ac:dyDescent="0.25">
      <c r="A12" s="20">
        <v>1000</v>
      </c>
      <c r="B12" s="21">
        <f t="shared" ref="B12:B19" si="1">AVERAGE(C12,D12)</f>
        <v>1.038</v>
      </c>
      <c r="C12" s="16">
        <v>1.056</v>
      </c>
      <c r="D12" s="17">
        <v>1.02</v>
      </c>
      <c r="O12" s="638" t="s">
        <v>12</v>
      </c>
      <c r="P12" s="723" t="s">
        <v>62</v>
      </c>
      <c r="Q12" s="713"/>
      <c r="R12" s="713"/>
      <c r="S12" s="713"/>
      <c r="T12" s="713"/>
      <c r="U12" s="724"/>
      <c r="V12" s="712" t="s">
        <v>63</v>
      </c>
      <c r="W12" s="713"/>
      <c r="X12" s="713"/>
      <c r="Y12" s="713"/>
      <c r="Z12" s="713"/>
      <c r="AA12" s="714"/>
    </row>
    <row r="13" spans="1:27" ht="15.75" thickBot="1" x14ac:dyDescent="0.3">
      <c r="A13" s="7">
        <v>500</v>
      </c>
      <c r="B13" s="18">
        <f t="shared" si="1"/>
        <v>0.66450000000000009</v>
      </c>
      <c r="C13" s="11">
        <v>0.67800000000000005</v>
      </c>
      <c r="D13" s="3">
        <v>0.65100000000000002</v>
      </c>
      <c r="O13" s="639"/>
      <c r="P13" s="715">
        <v>1</v>
      </c>
      <c r="Q13" s="716"/>
      <c r="R13" s="716">
        <v>2</v>
      </c>
      <c r="S13" s="716"/>
      <c r="T13" s="716">
        <v>3</v>
      </c>
      <c r="U13" s="717"/>
      <c r="V13" s="718">
        <v>1</v>
      </c>
      <c r="W13" s="716"/>
      <c r="X13" s="716">
        <v>2</v>
      </c>
      <c r="Y13" s="716"/>
      <c r="Z13" s="716">
        <v>3</v>
      </c>
      <c r="AA13" s="719"/>
    </row>
    <row r="14" spans="1:27" x14ac:dyDescent="0.25">
      <c r="A14" s="7">
        <v>250</v>
      </c>
      <c r="B14" s="18">
        <f t="shared" si="1"/>
        <v>0.46300000000000002</v>
      </c>
      <c r="C14" s="11">
        <v>0.46500000000000002</v>
      </c>
      <c r="D14" s="3">
        <v>0.46100000000000002</v>
      </c>
      <c r="O14" s="165">
        <v>0</v>
      </c>
      <c r="P14" s="166">
        <v>0.222</v>
      </c>
      <c r="Q14" s="167">
        <v>0.216</v>
      </c>
      <c r="R14" s="167">
        <v>0.20899999999999999</v>
      </c>
      <c r="S14" s="167">
        <v>0.20300000000000001</v>
      </c>
      <c r="T14" s="167">
        <v>0.17799999999999999</v>
      </c>
      <c r="U14" s="168">
        <v>0.19</v>
      </c>
      <c r="V14" s="169">
        <v>0.35399999999999998</v>
      </c>
      <c r="W14" s="167">
        <v>0.35699999999999998</v>
      </c>
      <c r="X14" s="167">
        <v>0.33300000000000002</v>
      </c>
      <c r="Y14" s="167">
        <v>0.33</v>
      </c>
      <c r="Z14" s="167">
        <v>0.22600000000000001</v>
      </c>
      <c r="AA14" s="170">
        <v>0.22800000000000001</v>
      </c>
    </row>
    <row r="15" spans="1:27" x14ac:dyDescent="0.25">
      <c r="A15" s="7">
        <v>125</v>
      </c>
      <c r="B15" s="18">
        <f t="shared" si="1"/>
        <v>0.38</v>
      </c>
      <c r="C15" s="11">
        <v>0.38700000000000001</v>
      </c>
      <c r="D15" s="3">
        <v>0.373</v>
      </c>
      <c r="O15" s="171">
        <v>10</v>
      </c>
      <c r="P15" s="172">
        <v>0.22500000000000001</v>
      </c>
      <c r="Q15" s="173">
        <v>0.217</v>
      </c>
      <c r="R15" s="173">
        <v>0.221</v>
      </c>
      <c r="S15" s="173">
        <v>0.20799999999999999</v>
      </c>
      <c r="T15" s="173">
        <v>0.186</v>
      </c>
      <c r="U15" s="174">
        <v>0.18</v>
      </c>
      <c r="V15" s="175">
        <v>0.35799999999999998</v>
      </c>
      <c r="W15" s="173">
        <v>0.35299999999999998</v>
      </c>
      <c r="X15" s="173">
        <v>0.32500000000000001</v>
      </c>
      <c r="Y15" s="173">
        <v>0.32200000000000001</v>
      </c>
      <c r="Z15" s="173">
        <v>0.246</v>
      </c>
      <c r="AA15" s="176">
        <v>0.24299999999999999</v>
      </c>
    </row>
    <row r="16" spans="1:27" x14ac:dyDescent="0.25">
      <c r="A16" s="7">
        <v>62.5</v>
      </c>
      <c r="B16" s="18">
        <f t="shared" si="1"/>
        <v>0.3165</v>
      </c>
      <c r="C16" s="11">
        <v>0.313</v>
      </c>
      <c r="D16" s="3">
        <v>0.32</v>
      </c>
      <c r="O16" s="171">
        <v>20</v>
      </c>
      <c r="P16" s="172">
        <v>0.20699999999999999</v>
      </c>
      <c r="Q16" s="173">
        <v>0.20699999999999999</v>
      </c>
      <c r="R16" s="173">
        <v>0.219</v>
      </c>
      <c r="S16" s="173">
        <v>0.21</v>
      </c>
      <c r="T16" s="173">
        <v>0.191</v>
      </c>
      <c r="U16" s="174">
        <v>0.182</v>
      </c>
      <c r="V16" s="175">
        <v>0.32900000000000001</v>
      </c>
      <c r="W16" s="173">
        <v>0.32700000000000001</v>
      </c>
      <c r="X16" s="173">
        <v>0.33800000000000002</v>
      </c>
      <c r="Y16" s="173">
        <v>0.32400000000000001</v>
      </c>
      <c r="Z16" s="173">
        <v>0.23499999999999999</v>
      </c>
      <c r="AA16" s="176">
        <v>0.23100000000000001</v>
      </c>
    </row>
    <row r="17" spans="1:27" x14ac:dyDescent="0.25">
      <c r="A17" s="7">
        <v>31.75</v>
      </c>
      <c r="B17" s="18">
        <f t="shared" si="1"/>
        <v>0.27400000000000002</v>
      </c>
      <c r="C17" s="11">
        <v>0.26500000000000001</v>
      </c>
      <c r="D17" s="3">
        <v>0.28299999999999997</v>
      </c>
      <c r="O17" s="171">
        <v>40</v>
      </c>
      <c r="P17" s="172">
        <v>0.19500000000000001</v>
      </c>
      <c r="Q17" s="173">
        <v>0.186</v>
      </c>
      <c r="R17" s="173">
        <v>0.21099999999999999</v>
      </c>
      <c r="S17" s="173">
        <v>0.20300000000000001</v>
      </c>
      <c r="T17" s="173">
        <v>0.17299999999999999</v>
      </c>
      <c r="U17" s="174">
        <v>0.16600000000000001</v>
      </c>
      <c r="V17" s="175">
        <v>0.29399999999999998</v>
      </c>
      <c r="W17" s="173">
        <v>0.3</v>
      </c>
      <c r="X17" s="173">
        <v>0.32800000000000001</v>
      </c>
      <c r="Y17" s="173">
        <v>0.33800000000000002</v>
      </c>
      <c r="Z17" s="173">
        <v>0.221</v>
      </c>
      <c r="AA17" s="176">
        <v>0.221</v>
      </c>
    </row>
    <row r="18" spans="1:27" x14ac:dyDescent="0.25">
      <c r="A18" s="7">
        <v>15</v>
      </c>
      <c r="B18" s="18">
        <f t="shared" si="1"/>
        <v>0.27250000000000002</v>
      </c>
      <c r="C18" s="11">
        <v>0.27200000000000002</v>
      </c>
      <c r="D18" s="3">
        <v>0.27300000000000002</v>
      </c>
      <c r="O18" s="171">
        <v>100</v>
      </c>
      <c r="P18" s="172">
        <v>0.20799999999999999</v>
      </c>
      <c r="Q18" s="173">
        <v>0.21099999999999999</v>
      </c>
      <c r="R18" s="173">
        <v>0.19500000000000001</v>
      </c>
      <c r="S18" s="173">
        <v>0.19600000000000001</v>
      </c>
      <c r="T18" s="173">
        <v>0.16600000000000001</v>
      </c>
      <c r="U18" s="174">
        <v>0.17</v>
      </c>
      <c r="V18" s="175">
        <v>0.32600000000000001</v>
      </c>
      <c r="W18" s="173">
        <v>0.33300000000000002</v>
      </c>
      <c r="X18" s="173">
        <v>0.30199999999999999</v>
      </c>
      <c r="Y18" s="173">
        <v>0.312</v>
      </c>
      <c r="Z18" s="173">
        <v>0.215</v>
      </c>
      <c r="AA18" s="176">
        <v>0.222</v>
      </c>
    </row>
    <row r="19" spans="1:27" ht="15.75" thickBot="1" x14ac:dyDescent="0.3">
      <c r="A19" s="8">
        <v>0</v>
      </c>
      <c r="B19" s="19">
        <f t="shared" si="1"/>
        <v>0.24399999999999999</v>
      </c>
      <c r="C19" s="12">
        <v>0.23799999999999999</v>
      </c>
      <c r="D19" s="4">
        <v>0.25</v>
      </c>
      <c r="O19" s="171">
        <v>120</v>
      </c>
      <c r="P19" s="172">
        <v>0.20200000000000001</v>
      </c>
      <c r="Q19" s="173">
        <v>0.20300000000000001</v>
      </c>
      <c r="R19" s="173">
        <v>0.19600000000000001</v>
      </c>
      <c r="S19" s="173">
        <v>0.19900000000000001</v>
      </c>
      <c r="T19" s="173">
        <v>0.16700000000000001</v>
      </c>
      <c r="U19" s="174">
        <v>0.17499999999999999</v>
      </c>
      <c r="V19" s="175">
        <v>0.32</v>
      </c>
      <c r="W19" s="173">
        <v>0.33</v>
      </c>
      <c r="X19" s="173">
        <v>0.30499999999999999</v>
      </c>
      <c r="Y19" s="173">
        <v>0.30499999999999999</v>
      </c>
      <c r="Z19" s="173">
        <v>0.20799999999999999</v>
      </c>
      <c r="AA19" s="176">
        <v>0.21</v>
      </c>
    </row>
    <row r="20" spans="1:27" ht="15.75" thickBot="1" x14ac:dyDescent="0.3">
      <c r="O20" s="177">
        <v>400</v>
      </c>
      <c r="P20" s="178">
        <v>0.23499999999999999</v>
      </c>
      <c r="Q20" s="179">
        <v>0.20599999999999999</v>
      </c>
      <c r="R20" s="179">
        <v>0.22800000000000001</v>
      </c>
      <c r="S20" s="179">
        <v>0.223</v>
      </c>
      <c r="T20" s="179">
        <v>0.188</v>
      </c>
      <c r="U20" s="180">
        <v>0.184</v>
      </c>
      <c r="V20" s="181">
        <v>0.34100000000000003</v>
      </c>
      <c r="W20" s="179">
        <v>0.35</v>
      </c>
      <c r="X20" s="179">
        <v>0.36</v>
      </c>
      <c r="Y20" s="179">
        <v>0.36699999999999999</v>
      </c>
      <c r="Z20" s="179">
        <v>0.23699999999999999</v>
      </c>
      <c r="AA20" s="182">
        <v>0.23599999999999999</v>
      </c>
    </row>
    <row r="21" spans="1:27" ht="15.75" thickBot="1" x14ac:dyDescent="0.3">
      <c r="A21" s="20">
        <v>1000</v>
      </c>
      <c r="B21" s="21">
        <f t="shared" ref="B21:B28" si="2">AVERAGE(C21,D21)</f>
        <v>1.0305</v>
      </c>
      <c r="C21" s="16">
        <v>1.0569999999999999</v>
      </c>
      <c r="D21" s="17">
        <v>1.004</v>
      </c>
    </row>
    <row r="22" spans="1:27" x14ac:dyDescent="0.25">
      <c r="A22" s="7">
        <v>500</v>
      </c>
      <c r="B22" s="18">
        <f t="shared" si="2"/>
        <v>0.64</v>
      </c>
      <c r="C22" s="11">
        <v>0.63600000000000001</v>
      </c>
      <c r="D22" s="3">
        <v>0.64400000000000002</v>
      </c>
      <c r="M22" s="198" t="s">
        <v>67</v>
      </c>
      <c r="O22" s="720" t="s">
        <v>11</v>
      </c>
      <c r="P22" s="722" t="s">
        <v>62</v>
      </c>
      <c r="Q22" s="707"/>
      <c r="R22" s="707"/>
      <c r="S22" s="707"/>
      <c r="T22" s="707"/>
      <c r="U22" s="708"/>
      <c r="V22" s="706" t="s">
        <v>63</v>
      </c>
      <c r="W22" s="707"/>
      <c r="X22" s="707"/>
      <c r="Y22" s="707"/>
      <c r="Z22" s="707"/>
      <c r="AA22" s="708"/>
    </row>
    <row r="23" spans="1:27" ht="15.75" thickBot="1" x14ac:dyDescent="0.3">
      <c r="A23" s="7">
        <v>250</v>
      </c>
      <c r="B23" s="18">
        <f t="shared" si="2"/>
        <v>0.46150000000000002</v>
      </c>
      <c r="C23" s="11">
        <v>0.48099999999999998</v>
      </c>
      <c r="D23" s="3">
        <v>0.442</v>
      </c>
      <c r="O23" s="721"/>
      <c r="P23" s="725">
        <v>1</v>
      </c>
      <c r="Q23" s="710"/>
      <c r="R23" s="710">
        <v>2</v>
      </c>
      <c r="S23" s="710"/>
      <c r="T23" s="710">
        <v>3</v>
      </c>
      <c r="U23" s="711"/>
      <c r="V23" s="709">
        <v>1</v>
      </c>
      <c r="W23" s="710"/>
      <c r="X23" s="710">
        <v>2</v>
      </c>
      <c r="Y23" s="710"/>
      <c r="Z23" s="710">
        <v>3</v>
      </c>
      <c r="AA23" s="711"/>
    </row>
    <row r="24" spans="1:27" x14ac:dyDescent="0.25">
      <c r="A24" s="7">
        <v>125</v>
      </c>
      <c r="B24" s="18">
        <f t="shared" si="2"/>
        <v>0.376</v>
      </c>
      <c r="C24" s="11">
        <v>0.39100000000000001</v>
      </c>
      <c r="D24" s="3">
        <v>0.36099999999999999</v>
      </c>
      <c r="O24" s="184">
        <v>0</v>
      </c>
      <c r="P24" s="150">
        <f>(P5/0.0007)-0.2871</f>
        <v>286.85575714285716</v>
      </c>
      <c r="Q24" s="151">
        <f t="shared" ref="Q24:AA24" si="3">(Q5/0.0007)-0.2871</f>
        <v>302.57004285714282</v>
      </c>
      <c r="R24" s="151">
        <f t="shared" si="3"/>
        <v>313.99861428571427</v>
      </c>
      <c r="S24" s="151">
        <f t="shared" si="3"/>
        <v>319.71289999999999</v>
      </c>
      <c r="T24" s="151">
        <f t="shared" si="3"/>
        <v>298.28432857142855</v>
      </c>
      <c r="U24" s="185">
        <f t="shared" si="3"/>
        <v>308.28432857142855</v>
      </c>
      <c r="V24" s="152">
        <f t="shared" si="3"/>
        <v>535.42718571428566</v>
      </c>
      <c r="W24" s="151">
        <f t="shared" si="3"/>
        <v>528.28432857142855</v>
      </c>
      <c r="X24" s="151">
        <f t="shared" si="3"/>
        <v>591.14147142857144</v>
      </c>
      <c r="Y24" s="151">
        <f t="shared" si="3"/>
        <v>585.42718571428566</v>
      </c>
      <c r="Z24" s="151">
        <f t="shared" si="3"/>
        <v>565.42718571428577</v>
      </c>
      <c r="AA24" s="185">
        <f t="shared" si="3"/>
        <v>552.57004285714288</v>
      </c>
    </row>
    <row r="25" spans="1:27" x14ac:dyDescent="0.25">
      <c r="A25" s="7">
        <v>62.5</v>
      </c>
      <c r="B25" s="18">
        <f t="shared" si="2"/>
        <v>0.32050000000000001</v>
      </c>
      <c r="C25" s="11">
        <v>0.33500000000000002</v>
      </c>
      <c r="D25" s="3">
        <v>0.30599999999999999</v>
      </c>
      <c r="O25" s="186">
        <v>10</v>
      </c>
      <c r="P25" s="154">
        <f t="shared" ref="P25:AA25" si="4">(P6/0.0007)-0.2871</f>
        <v>306.85575714285716</v>
      </c>
      <c r="Q25" s="155">
        <f t="shared" si="4"/>
        <v>305.42718571428571</v>
      </c>
      <c r="R25" s="155">
        <f t="shared" si="4"/>
        <v>338.28432857142855</v>
      </c>
      <c r="S25" s="155">
        <f t="shared" si="4"/>
        <v>363.99861428571427</v>
      </c>
      <c r="T25" s="155">
        <f t="shared" si="4"/>
        <v>375.42718571428571</v>
      </c>
      <c r="U25" s="187">
        <f t="shared" si="4"/>
        <v>372.57004285714288</v>
      </c>
      <c r="V25" s="156">
        <f t="shared" si="4"/>
        <v>561.14147142857144</v>
      </c>
      <c r="W25" s="155">
        <f t="shared" si="4"/>
        <v>541.14147142857144</v>
      </c>
      <c r="X25" s="155">
        <f t="shared" si="4"/>
        <v>656.85575714285721</v>
      </c>
      <c r="Y25" s="155">
        <f t="shared" si="4"/>
        <v>643.99861428571432</v>
      </c>
      <c r="Z25" s="155">
        <f t="shared" si="4"/>
        <v>696.8557571428571</v>
      </c>
      <c r="AA25" s="187">
        <f t="shared" si="4"/>
        <v>698.28432857142855</v>
      </c>
    </row>
    <row r="26" spans="1:27" x14ac:dyDescent="0.25">
      <c r="A26" s="7">
        <v>31.75</v>
      </c>
      <c r="B26" s="18">
        <f t="shared" si="2"/>
        <v>0.28449999999999998</v>
      </c>
      <c r="C26" s="11">
        <v>0.29299999999999998</v>
      </c>
      <c r="D26" s="3">
        <v>0.27600000000000002</v>
      </c>
      <c r="O26" s="186">
        <v>20</v>
      </c>
      <c r="P26" s="154">
        <f t="shared" ref="P26:AA26" si="5">(P7/0.0007)-0.2871</f>
        <v>361.14147142857144</v>
      </c>
      <c r="Q26" s="155">
        <f t="shared" si="5"/>
        <v>351.14147142857144</v>
      </c>
      <c r="R26" s="155">
        <f t="shared" si="5"/>
        <v>355.42718571428571</v>
      </c>
      <c r="S26" s="155">
        <f t="shared" si="5"/>
        <v>359.71289999999999</v>
      </c>
      <c r="T26" s="155">
        <f t="shared" si="5"/>
        <v>408.28432857142855</v>
      </c>
      <c r="U26" s="187">
        <f t="shared" si="5"/>
        <v>418.28432857142855</v>
      </c>
      <c r="V26" s="156">
        <f t="shared" si="5"/>
        <v>623.99861428571432</v>
      </c>
      <c r="W26" s="155">
        <f t="shared" si="5"/>
        <v>599.71289999999999</v>
      </c>
      <c r="X26" s="155">
        <f t="shared" si="5"/>
        <v>638.28432857142855</v>
      </c>
      <c r="Y26" s="155">
        <f t="shared" si="5"/>
        <v>616.8557571428571</v>
      </c>
      <c r="Z26" s="155">
        <f t="shared" si="5"/>
        <v>762.57004285714288</v>
      </c>
      <c r="AA26" s="187">
        <f t="shared" si="5"/>
        <v>766.85575714285721</v>
      </c>
    </row>
    <row r="27" spans="1:27" x14ac:dyDescent="0.25">
      <c r="A27" s="7">
        <v>15</v>
      </c>
      <c r="B27" s="18">
        <f t="shared" si="2"/>
        <v>0.26150000000000001</v>
      </c>
      <c r="C27" s="11">
        <v>0.27300000000000002</v>
      </c>
      <c r="D27" s="3">
        <v>0.25</v>
      </c>
      <c r="O27" s="186">
        <v>40</v>
      </c>
      <c r="P27" s="188">
        <f>(P8/0.0008)-0.2619</f>
        <v>272.23809999999997</v>
      </c>
      <c r="Q27" s="189">
        <f t="shared" ref="Q27:AA27" si="6">(Q8/0.0008)-0.2619</f>
        <v>259.73809999999997</v>
      </c>
      <c r="R27" s="189">
        <f t="shared" si="6"/>
        <v>287.23809999999997</v>
      </c>
      <c r="S27" s="189">
        <f t="shared" si="6"/>
        <v>270.98809999999997</v>
      </c>
      <c r="T27" s="189">
        <f t="shared" si="6"/>
        <v>368.48809999999992</v>
      </c>
      <c r="U27" s="190">
        <f t="shared" si="6"/>
        <v>360.98809999999992</v>
      </c>
      <c r="V27" s="191">
        <f t="shared" si="6"/>
        <v>425.98809999999997</v>
      </c>
      <c r="W27" s="189">
        <f t="shared" si="6"/>
        <v>427.23809999999997</v>
      </c>
      <c r="X27" s="189">
        <f t="shared" si="6"/>
        <v>467.23809999999997</v>
      </c>
      <c r="Y27" s="189">
        <f t="shared" si="6"/>
        <v>473.48809999999997</v>
      </c>
      <c r="Z27" s="189">
        <f t="shared" si="6"/>
        <v>729.73809999999992</v>
      </c>
      <c r="AA27" s="190">
        <f t="shared" si="6"/>
        <v>735.98809999999992</v>
      </c>
    </row>
    <row r="28" spans="1:27" ht="15.75" thickBot="1" x14ac:dyDescent="0.3">
      <c r="A28" s="8">
        <v>0</v>
      </c>
      <c r="B28" s="19">
        <f t="shared" si="2"/>
        <v>0.24099999999999999</v>
      </c>
      <c r="C28" s="12">
        <v>0.24399999999999999</v>
      </c>
      <c r="D28" s="4">
        <v>0.23799999999999999</v>
      </c>
      <c r="O28" s="186">
        <v>100</v>
      </c>
      <c r="P28" s="154">
        <f t="shared" ref="P28:AA28" si="7">(P9/0.0007)-0.2871</f>
        <v>309.71289999999999</v>
      </c>
      <c r="Q28" s="155">
        <f t="shared" si="7"/>
        <v>291.14147142857138</v>
      </c>
      <c r="R28" s="155">
        <f t="shared" si="7"/>
        <v>301.14147142857144</v>
      </c>
      <c r="S28" s="155">
        <f t="shared" si="7"/>
        <v>289.71289999999999</v>
      </c>
      <c r="T28" s="155">
        <f t="shared" si="7"/>
        <v>306.85575714285716</v>
      </c>
      <c r="U28" s="187">
        <f t="shared" si="7"/>
        <v>292.57004285714282</v>
      </c>
      <c r="V28" s="191">
        <f t="shared" si="7"/>
        <v>493.99861428571427</v>
      </c>
      <c r="W28" s="189">
        <f t="shared" si="7"/>
        <v>505.42718571428566</v>
      </c>
      <c r="X28" s="189">
        <f t="shared" si="7"/>
        <v>505.42718571428566</v>
      </c>
      <c r="Y28" s="189">
        <f t="shared" si="7"/>
        <v>486.85575714285716</v>
      </c>
      <c r="Z28" s="189">
        <f t="shared" si="7"/>
        <v>475.42718571428571</v>
      </c>
      <c r="AA28" s="190">
        <f t="shared" si="7"/>
        <v>488.2843285714286</v>
      </c>
    </row>
    <row r="29" spans="1:27" x14ac:dyDescent="0.25">
      <c r="O29" s="186">
        <v>120</v>
      </c>
      <c r="P29" s="154">
        <f t="shared" ref="P29:AA29" si="8">(P10/0.0007)-0.2871</f>
        <v>288.2843285714286</v>
      </c>
      <c r="Q29" s="155">
        <f t="shared" si="8"/>
        <v>275.42718571428571</v>
      </c>
      <c r="R29" s="155">
        <f t="shared" si="8"/>
        <v>296.8557571428571</v>
      </c>
      <c r="S29" s="155">
        <f t="shared" si="8"/>
        <v>291.14147142857138</v>
      </c>
      <c r="T29" s="155">
        <f t="shared" si="8"/>
        <v>329.71289999999999</v>
      </c>
      <c r="U29" s="187">
        <f t="shared" si="8"/>
        <v>326.85575714285716</v>
      </c>
      <c r="V29" s="191">
        <f t="shared" si="8"/>
        <v>435.42718571428571</v>
      </c>
      <c r="W29" s="189">
        <f t="shared" si="8"/>
        <v>436.85575714285716</v>
      </c>
      <c r="X29" s="189">
        <f t="shared" si="8"/>
        <v>453.99861428571427</v>
      </c>
      <c r="Y29" s="189">
        <f t="shared" si="8"/>
        <v>463.99861428571432</v>
      </c>
      <c r="Z29" s="189">
        <f t="shared" si="8"/>
        <v>551.14147142857144</v>
      </c>
      <c r="AA29" s="190">
        <f t="shared" si="8"/>
        <v>563.99861428571432</v>
      </c>
    </row>
    <row r="30" spans="1:27" ht="15.75" thickBot="1" x14ac:dyDescent="0.3">
      <c r="O30" s="192">
        <v>400</v>
      </c>
      <c r="P30" s="193">
        <f t="shared" ref="P30:AA30" si="9">(P11/0.0007)-0.2871</f>
        <v>296.8557571428571</v>
      </c>
      <c r="Q30" s="194">
        <f t="shared" si="9"/>
        <v>292.57004285714282</v>
      </c>
      <c r="R30" s="194">
        <f t="shared" si="9"/>
        <v>298.28432857142855</v>
      </c>
      <c r="S30" s="195">
        <f t="shared" si="9"/>
        <v>293.99861428571427</v>
      </c>
      <c r="T30" s="195">
        <f t="shared" si="9"/>
        <v>313.99861428571427</v>
      </c>
      <c r="U30" s="196">
        <f t="shared" si="9"/>
        <v>296.8557571428571</v>
      </c>
      <c r="V30" s="197">
        <f t="shared" si="9"/>
        <v>459.71289999999999</v>
      </c>
      <c r="W30" s="195">
        <f t="shared" si="9"/>
        <v>465.42718571428571</v>
      </c>
      <c r="X30" s="195">
        <f t="shared" si="9"/>
        <v>438.28432857142855</v>
      </c>
      <c r="Y30" s="195">
        <f t="shared" si="9"/>
        <v>445.42718571428571</v>
      </c>
      <c r="Z30" s="195">
        <f t="shared" si="9"/>
        <v>601.14147142857144</v>
      </c>
      <c r="AA30" s="196">
        <f t="shared" si="9"/>
        <v>431.14147142857144</v>
      </c>
    </row>
    <row r="31" spans="1:27" x14ac:dyDescent="0.25">
      <c r="O31" s="638" t="s">
        <v>12</v>
      </c>
      <c r="P31" s="723" t="s">
        <v>62</v>
      </c>
      <c r="Q31" s="713"/>
      <c r="R31" s="713"/>
      <c r="S31" s="713"/>
      <c r="T31" s="713"/>
      <c r="U31" s="724"/>
      <c r="V31" s="712" t="s">
        <v>63</v>
      </c>
      <c r="W31" s="713"/>
      <c r="X31" s="713"/>
      <c r="Y31" s="713"/>
      <c r="Z31" s="713"/>
      <c r="AA31" s="714"/>
    </row>
    <row r="32" spans="1:27" ht="15.75" thickBot="1" x14ac:dyDescent="0.3">
      <c r="O32" s="639"/>
      <c r="P32" s="715">
        <v>1</v>
      </c>
      <c r="Q32" s="716"/>
      <c r="R32" s="716">
        <v>2</v>
      </c>
      <c r="S32" s="716"/>
      <c r="T32" s="716">
        <v>3</v>
      </c>
      <c r="U32" s="717"/>
      <c r="V32" s="718">
        <v>1</v>
      </c>
      <c r="W32" s="716"/>
      <c r="X32" s="716">
        <v>2</v>
      </c>
      <c r="Y32" s="716"/>
      <c r="Z32" s="716">
        <v>3</v>
      </c>
      <c r="AA32" s="719"/>
    </row>
    <row r="33" spans="15:27" x14ac:dyDescent="0.25">
      <c r="O33" s="165">
        <v>0</v>
      </c>
      <c r="P33" s="166">
        <f>(P14/0.0008)-0.2605</f>
        <v>277.23950000000002</v>
      </c>
      <c r="Q33" s="167">
        <f t="shared" ref="Q33:AA33" si="10">(Q14/0.0008)-0.2605</f>
        <v>269.73950000000002</v>
      </c>
      <c r="R33" s="167">
        <f t="shared" si="10"/>
        <v>260.98950000000002</v>
      </c>
      <c r="S33" s="167">
        <f t="shared" si="10"/>
        <v>253.48949999999999</v>
      </c>
      <c r="T33" s="167">
        <f t="shared" si="10"/>
        <v>222.23949999999996</v>
      </c>
      <c r="U33" s="168">
        <f t="shared" si="10"/>
        <v>237.23949999999999</v>
      </c>
      <c r="V33" s="169">
        <f t="shared" si="10"/>
        <v>442.23949999999996</v>
      </c>
      <c r="W33" s="167">
        <f t="shared" si="10"/>
        <v>445.98949999999996</v>
      </c>
      <c r="X33" s="167">
        <f t="shared" si="10"/>
        <v>415.98950000000002</v>
      </c>
      <c r="Y33" s="167">
        <f t="shared" si="10"/>
        <v>412.23950000000002</v>
      </c>
      <c r="Z33" s="167">
        <f t="shared" si="10"/>
        <v>282.23950000000002</v>
      </c>
      <c r="AA33" s="170">
        <f t="shared" si="10"/>
        <v>284.73950000000002</v>
      </c>
    </row>
    <row r="34" spans="15:27" x14ac:dyDescent="0.25">
      <c r="O34" s="171">
        <v>10</v>
      </c>
      <c r="P34" s="166">
        <f t="shared" ref="P34:AA34" si="11">(P15/0.0008)-0.2605</f>
        <v>280.98950000000002</v>
      </c>
      <c r="Q34" s="167">
        <f t="shared" si="11"/>
        <v>270.98950000000002</v>
      </c>
      <c r="R34" s="167">
        <f t="shared" si="11"/>
        <v>275.98950000000002</v>
      </c>
      <c r="S34" s="167">
        <f t="shared" si="11"/>
        <v>259.73950000000002</v>
      </c>
      <c r="T34" s="167">
        <f t="shared" si="11"/>
        <v>232.23949999999999</v>
      </c>
      <c r="U34" s="168">
        <f t="shared" si="11"/>
        <v>224.73949999999996</v>
      </c>
      <c r="V34" s="169">
        <f t="shared" si="11"/>
        <v>447.23949999999996</v>
      </c>
      <c r="W34" s="167">
        <f t="shared" si="11"/>
        <v>440.98949999999996</v>
      </c>
      <c r="X34" s="167">
        <f t="shared" si="11"/>
        <v>405.98950000000002</v>
      </c>
      <c r="Y34" s="167">
        <f t="shared" si="11"/>
        <v>402.23950000000002</v>
      </c>
      <c r="Z34" s="167">
        <f t="shared" si="11"/>
        <v>307.23950000000002</v>
      </c>
      <c r="AA34" s="170">
        <f t="shared" si="11"/>
        <v>303.48950000000002</v>
      </c>
    </row>
    <row r="35" spans="15:27" x14ac:dyDescent="0.25">
      <c r="O35" s="171">
        <v>20</v>
      </c>
      <c r="P35" s="166">
        <f t="shared" ref="P35:AA35" si="12">(P16/0.0008)-0.2605</f>
        <v>258.48950000000002</v>
      </c>
      <c r="Q35" s="167">
        <f t="shared" si="12"/>
        <v>258.48950000000002</v>
      </c>
      <c r="R35" s="167">
        <f t="shared" si="12"/>
        <v>273.48950000000002</v>
      </c>
      <c r="S35" s="167">
        <f t="shared" si="12"/>
        <v>262.23950000000002</v>
      </c>
      <c r="T35" s="167">
        <f t="shared" si="12"/>
        <v>238.48949999999999</v>
      </c>
      <c r="U35" s="168">
        <f t="shared" si="12"/>
        <v>227.23949999999996</v>
      </c>
      <c r="V35" s="169">
        <f t="shared" si="12"/>
        <v>410.98950000000002</v>
      </c>
      <c r="W35" s="167">
        <f t="shared" si="12"/>
        <v>408.48950000000002</v>
      </c>
      <c r="X35" s="167">
        <f t="shared" si="12"/>
        <v>422.23950000000002</v>
      </c>
      <c r="Y35" s="167">
        <f t="shared" si="12"/>
        <v>404.73950000000002</v>
      </c>
      <c r="Z35" s="167">
        <f t="shared" si="12"/>
        <v>293.48949999999996</v>
      </c>
      <c r="AA35" s="170">
        <f t="shared" si="12"/>
        <v>288.48950000000002</v>
      </c>
    </row>
    <row r="36" spans="15:27" x14ac:dyDescent="0.25">
      <c r="O36" s="171">
        <v>40</v>
      </c>
      <c r="P36" s="172">
        <f>(P17/0.0008)-0.2619</f>
        <v>243.4881</v>
      </c>
      <c r="Q36" s="173">
        <f t="shared" ref="Q36:AA36" si="13">(Q17/0.0008)-0.2619</f>
        <v>232.2381</v>
      </c>
      <c r="R36" s="173">
        <f t="shared" si="13"/>
        <v>263.48809999999997</v>
      </c>
      <c r="S36" s="173">
        <f t="shared" si="13"/>
        <v>253.4881</v>
      </c>
      <c r="T36" s="173">
        <f t="shared" si="13"/>
        <v>215.98809999999997</v>
      </c>
      <c r="U36" s="174">
        <f t="shared" si="13"/>
        <v>207.2381</v>
      </c>
      <c r="V36" s="175">
        <f>(V17/0.0008)-0.2619</f>
        <v>367.23809999999992</v>
      </c>
      <c r="W36" s="173">
        <f t="shared" si="13"/>
        <v>374.73809999999992</v>
      </c>
      <c r="X36" s="173">
        <f t="shared" si="13"/>
        <v>409.73809999999997</v>
      </c>
      <c r="Y36" s="173">
        <f t="shared" si="13"/>
        <v>422.23809999999997</v>
      </c>
      <c r="Z36" s="173">
        <f t="shared" si="13"/>
        <v>275.98809999999997</v>
      </c>
      <c r="AA36" s="176">
        <f t="shared" si="13"/>
        <v>275.98809999999997</v>
      </c>
    </row>
    <row r="37" spans="15:27" x14ac:dyDescent="0.25">
      <c r="O37" s="171">
        <v>100</v>
      </c>
      <c r="P37" s="172">
        <f>(P18/0.0008)-0.2605</f>
        <v>259.73950000000002</v>
      </c>
      <c r="Q37" s="173">
        <f t="shared" ref="Q37:U37" si="14">(Q18/0.0008)-0.2605</f>
        <v>263.48950000000002</v>
      </c>
      <c r="R37" s="173">
        <f t="shared" si="14"/>
        <v>243.48949999999999</v>
      </c>
      <c r="S37" s="173">
        <f t="shared" si="14"/>
        <v>244.73949999999999</v>
      </c>
      <c r="T37" s="173">
        <f t="shared" si="14"/>
        <v>207.23949999999999</v>
      </c>
      <c r="U37" s="174">
        <f t="shared" si="14"/>
        <v>212.23949999999999</v>
      </c>
      <c r="V37" s="175">
        <f>(V18/0.0008)-0.2605</f>
        <v>407.23950000000002</v>
      </c>
      <c r="W37" s="173">
        <f t="shared" ref="W37:AA37" si="15">(W18/0.0008)-0.2605</f>
        <v>415.98950000000002</v>
      </c>
      <c r="X37" s="173">
        <f t="shared" si="15"/>
        <v>377.23949999999996</v>
      </c>
      <c r="Y37" s="173">
        <f t="shared" si="15"/>
        <v>389.73950000000002</v>
      </c>
      <c r="Z37" s="173">
        <f t="shared" si="15"/>
        <v>268.48950000000002</v>
      </c>
      <c r="AA37" s="176">
        <f t="shared" si="15"/>
        <v>277.23950000000002</v>
      </c>
    </row>
    <row r="38" spans="15:27" x14ac:dyDescent="0.25">
      <c r="O38" s="171">
        <v>120</v>
      </c>
      <c r="P38" s="172">
        <f t="shared" ref="P38:AA38" si="16">(P19/0.0008)-0.2605</f>
        <v>252.23949999999999</v>
      </c>
      <c r="Q38" s="173">
        <f t="shared" si="16"/>
        <v>253.48949999999999</v>
      </c>
      <c r="R38" s="173">
        <f t="shared" si="16"/>
        <v>244.73949999999999</v>
      </c>
      <c r="S38" s="173">
        <f t="shared" si="16"/>
        <v>248.48949999999999</v>
      </c>
      <c r="T38" s="173">
        <f t="shared" si="16"/>
        <v>208.48949999999999</v>
      </c>
      <c r="U38" s="174">
        <f t="shared" si="16"/>
        <v>218.48949999999996</v>
      </c>
      <c r="V38" s="175">
        <f t="shared" si="16"/>
        <v>399.73950000000002</v>
      </c>
      <c r="W38" s="173">
        <f t="shared" si="16"/>
        <v>412.23950000000002</v>
      </c>
      <c r="X38" s="173">
        <f t="shared" si="16"/>
        <v>380.98950000000002</v>
      </c>
      <c r="Y38" s="173">
        <f t="shared" si="16"/>
        <v>380.98950000000002</v>
      </c>
      <c r="Z38" s="173">
        <f t="shared" si="16"/>
        <v>259.73950000000002</v>
      </c>
      <c r="AA38" s="176">
        <f t="shared" si="16"/>
        <v>262.23950000000002</v>
      </c>
    </row>
    <row r="39" spans="15:27" ht="15.75" thickBot="1" x14ac:dyDescent="0.3">
      <c r="O39" s="177">
        <v>400</v>
      </c>
      <c r="P39" s="178">
        <f>(P20/0.0008)-0.2605</f>
        <v>293.48949999999996</v>
      </c>
      <c r="Q39" s="179">
        <f t="shared" ref="Q39:AA39" si="17">(Q20/0.0008)-0.2605</f>
        <v>257.23950000000002</v>
      </c>
      <c r="R39" s="179">
        <f t="shared" si="17"/>
        <v>284.73950000000002</v>
      </c>
      <c r="S39" s="179">
        <f t="shared" si="17"/>
        <v>278.48950000000002</v>
      </c>
      <c r="T39" s="179">
        <f t="shared" si="17"/>
        <v>234.73949999999999</v>
      </c>
      <c r="U39" s="180">
        <f t="shared" si="17"/>
        <v>229.73949999999996</v>
      </c>
      <c r="V39" s="181">
        <f t="shared" si="17"/>
        <v>425.98950000000002</v>
      </c>
      <c r="W39" s="179">
        <f t="shared" si="17"/>
        <v>437.23949999999996</v>
      </c>
      <c r="X39" s="179">
        <f t="shared" si="17"/>
        <v>449.73949999999996</v>
      </c>
      <c r="Y39" s="179">
        <f t="shared" si="17"/>
        <v>458.48949999999996</v>
      </c>
      <c r="Z39" s="179">
        <f t="shared" si="17"/>
        <v>295.98949999999996</v>
      </c>
      <c r="AA39" s="182">
        <f t="shared" si="17"/>
        <v>294.73949999999996</v>
      </c>
    </row>
  </sheetData>
  <mergeCells count="39">
    <mergeCell ref="T23:U23"/>
    <mergeCell ref="V23:W23"/>
    <mergeCell ref="X23:Y23"/>
    <mergeCell ref="Z23:AA23"/>
    <mergeCell ref="O31:O32"/>
    <mergeCell ref="P31:U31"/>
    <mergeCell ref="V31:AA31"/>
    <mergeCell ref="P32:Q32"/>
    <mergeCell ref="R32:S32"/>
    <mergeCell ref="T32:U32"/>
    <mergeCell ref="V32:W32"/>
    <mergeCell ref="X32:Y32"/>
    <mergeCell ref="Z32:AA32"/>
    <mergeCell ref="Z13:AA13"/>
    <mergeCell ref="A1:A2"/>
    <mergeCell ref="B1:B2"/>
    <mergeCell ref="C1:D1"/>
    <mergeCell ref="O22:O23"/>
    <mergeCell ref="P22:U22"/>
    <mergeCell ref="O3:O4"/>
    <mergeCell ref="O12:O13"/>
    <mergeCell ref="P12:U12"/>
    <mergeCell ref="P3:U3"/>
    <mergeCell ref="P4:Q4"/>
    <mergeCell ref="R4:S4"/>
    <mergeCell ref="T4:U4"/>
    <mergeCell ref="V22:AA22"/>
    <mergeCell ref="P23:Q23"/>
    <mergeCell ref="R23:S23"/>
    <mergeCell ref="P13:Q13"/>
    <mergeCell ref="R13:S13"/>
    <mergeCell ref="T13:U13"/>
    <mergeCell ref="V13:W13"/>
    <mergeCell ref="X13:Y13"/>
    <mergeCell ref="V3:AA3"/>
    <mergeCell ref="V4:W4"/>
    <mergeCell ref="X4:Y4"/>
    <mergeCell ref="Z4:AA4"/>
    <mergeCell ref="V12:AA1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F3E75-B9ED-4D1A-8A2D-C962FE6439EB}">
  <dimension ref="A1:AF39"/>
  <sheetViews>
    <sheetView topLeftCell="A2" zoomScaleNormal="150" zoomScaleSheetLayoutView="100" workbookViewId="0">
      <selection activeCell="S42" sqref="S42"/>
    </sheetView>
  </sheetViews>
  <sheetFormatPr defaultRowHeight="15" x14ac:dyDescent="0.25"/>
  <cols>
    <col min="1" max="1" width="21" customWidth="1"/>
    <col min="13" max="13" width="29.140625" customWidth="1"/>
  </cols>
  <sheetData>
    <row r="1" spans="1:32" x14ac:dyDescent="0.25">
      <c r="A1" s="543" t="s">
        <v>65</v>
      </c>
      <c r="B1" s="543" t="s">
        <v>52</v>
      </c>
      <c r="C1" s="545" t="s">
        <v>66</v>
      </c>
      <c r="D1" s="546"/>
    </row>
    <row r="2" spans="1:32" ht="15.75" thickBot="1" x14ac:dyDescent="0.3">
      <c r="A2" s="544"/>
      <c r="B2" s="544"/>
      <c r="C2" s="12">
        <v>1</v>
      </c>
      <c r="D2" s="4">
        <v>2</v>
      </c>
    </row>
    <row r="3" spans="1:32" x14ac:dyDescent="0.25">
      <c r="A3" s="199">
        <v>1000</v>
      </c>
      <c r="B3" s="199">
        <f t="shared" ref="B3:B10" si="0">AVERAGE(C3,D3)</f>
        <v>0.96550000000000002</v>
      </c>
      <c r="C3" s="457">
        <v>0.95899999999999996</v>
      </c>
      <c r="D3" s="458">
        <v>0.97199999999999998</v>
      </c>
      <c r="M3" s="198" t="s">
        <v>64</v>
      </c>
      <c r="O3" s="525" t="s">
        <v>8</v>
      </c>
      <c r="P3" s="527" t="s">
        <v>62</v>
      </c>
      <c r="Q3" s="528"/>
      <c r="R3" s="528"/>
      <c r="S3" s="528"/>
      <c r="T3" s="528"/>
      <c r="U3" s="529"/>
      <c r="V3" s="530" t="s">
        <v>63</v>
      </c>
      <c r="W3" s="528"/>
      <c r="X3" s="528"/>
      <c r="Y3" s="528"/>
      <c r="Z3" s="528"/>
      <c r="AA3" s="529"/>
    </row>
    <row r="4" spans="1:32" ht="15.75" thickBot="1" x14ac:dyDescent="0.3">
      <c r="A4" s="18">
        <v>500</v>
      </c>
      <c r="B4" s="18">
        <f t="shared" si="0"/>
        <v>0.63749999999999996</v>
      </c>
      <c r="C4" s="459">
        <v>0.628</v>
      </c>
      <c r="D4" s="460">
        <v>0.64700000000000002</v>
      </c>
      <c r="O4" s="526"/>
      <c r="P4" s="531">
        <v>1</v>
      </c>
      <c r="Q4" s="532"/>
      <c r="R4" s="532">
        <v>2</v>
      </c>
      <c r="S4" s="532"/>
      <c r="T4" s="532">
        <v>3</v>
      </c>
      <c r="U4" s="533"/>
      <c r="V4" s="534">
        <v>1</v>
      </c>
      <c r="W4" s="532"/>
      <c r="X4" s="532">
        <v>2</v>
      </c>
      <c r="Y4" s="532"/>
      <c r="Z4" s="532">
        <v>3</v>
      </c>
      <c r="AA4" s="533"/>
    </row>
    <row r="5" spans="1:32" x14ac:dyDescent="0.25">
      <c r="A5" s="18">
        <v>250</v>
      </c>
      <c r="B5" s="18">
        <f t="shared" si="0"/>
        <v>0.45350000000000001</v>
      </c>
      <c r="C5" s="459">
        <v>0.46600000000000003</v>
      </c>
      <c r="D5" s="460">
        <v>0.441</v>
      </c>
      <c r="O5" s="463">
        <v>0</v>
      </c>
      <c r="P5" s="501">
        <v>0.19600000000000001</v>
      </c>
      <c r="Q5" s="502">
        <v>0.24199999999999999</v>
      </c>
      <c r="R5" s="502">
        <v>0.28499999999999998</v>
      </c>
      <c r="S5" s="502">
        <v>0.316</v>
      </c>
      <c r="T5" s="502">
        <v>0.27600000000000002</v>
      </c>
      <c r="U5" s="504">
        <v>0.31</v>
      </c>
      <c r="V5" s="501">
        <v>0.39500000000000002</v>
      </c>
      <c r="W5" s="502">
        <v>0.39500000000000002</v>
      </c>
      <c r="X5" s="502">
        <v>0.67600000000000005</v>
      </c>
      <c r="Y5" s="502">
        <v>0.67600000000000005</v>
      </c>
      <c r="Z5" s="502">
        <v>0.65700000000000003</v>
      </c>
      <c r="AA5" s="503">
        <v>0.66700000000000004</v>
      </c>
    </row>
    <row r="6" spans="1:32" x14ac:dyDescent="0.25">
      <c r="A6" s="18">
        <v>125</v>
      </c>
      <c r="B6" s="18">
        <f t="shared" si="0"/>
        <v>0.29599999999999999</v>
      </c>
      <c r="C6" s="459">
        <v>0.30199999999999999</v>
      </c>
      <c r="D6" s="460">
        <v>0.28999999999999998</v>
      </c>
      <c r="O6" s="467">
        <v>10</v>
      </c>
      <c r="P6" s="471">
        <v>0.248</v>
      </c>
      <c r="Q6" s="472">
        <v>0.27700000000000002</v>
      </c>
      <c r="R6" s="472">
        <v>0.26200000000000001</v>
      </c>
      <c r="S6" s="472">
        <v>0.29499999999999998</v>
      </c>
      <c r="T6" s="472">
        <v>0.26</v>
      </c>
      <c r="U6" s="505">
        <v>0.28799999999999998</v>
      </c>
      <c r="V6" s="471">
        <v>0.56299999999999994</v>
      </c>
      <c r="W6" s="472">
        <v>0.59</v>
      </c>
      <c r="X6" s="472">
        <v>0.66400000000000003</v>
      </c>
      <c r="Y6" s="472">
        <v>0.64800000000000002</v>
      </c>
      <c r="Z6" s="472">
        <v>0.64400000000000002</v>
      </c>
      <c r="AA6" s="473">
        <v>0.65800000000000003</v>
      </c>
    </row>
    <row r="7" spans="1:32" x14ac:dyDescent="0.25">
      <c r="A7" s="18">
        <v>62.5</v>
      </c>
      <c r="B7" s="18">
        <f t="shared" si="0"/>
        <v>0.2235</v>
      </c>
      <c r="C7" s="459">
        <v>0.22600000000000001</v>
      </c>
      <c r="D7" s="460">
        <v>0.221</v>
      </c>
      <c r="O7" s="467">
        <v>20</v>
      </c>
      <c r="P7" s="471">
        <v>0.26900000000000002</v>
      </c>
      <c r="Q7" s="472">
        <v>0.29099999999999998</v>
      </c>
      <c r="R7" s="472">
        <v>0.29199999999999998</v>
      </c>
      <c r="S7" s="472">
        <v>0.29899999999999999</v>
      </c>
      <c r="T7" s="472">
        <v>0.29599999999999999</v>
      </c>
      <c r="U7" s="505">
        <v>0.29599999999999999</v>
      </c>
      <c r="V7" s="471">
        <v>0.67100000000000004</v>
      </c>
      <c r="W7" s="472">
        <v>0.67800000000000005</v>
      </c>
      <c r="X7" s="472">
        <v>0.69399999999999995</v>
      </c>
      <c r="Y7" s="472">
        <v>0.73599999999999999</v>
      </c>
      <c r="Z7" s="472">
        <v>0.72599999999999998</v>
      </c>
      <c r="AA7" s="473">
        <v>0.752</v>
      </c>
      <c r="AC7" s="460"/>
      <c r="AD7" s="460"/>
      <c r="AE7" s="460"/>
      <c r="AF7" s="460"/>
    </row>
    <row r="8" spans="1:32" x14ac:dyDescent="0.25">
      <c r="A8" s="18">
        <v>31.75</v>
      </c>
      <c r="B8" s="18">
        <f t="shared" si="0"/>
        <v>0.20600000000000002</v>
      </c>
      <c r="C8" s="459">
        <v>0.19800000000000001</v>
      </c>
      <c r="D8" s="460">
        <v>0.214</v>
      </c>
      <c r="O8" s="467">
        <v>40</v>
      </c>
      <c r="P8" s="471">
        <v>0.26600000000000001</v>
      </c>
      <c r="Q8" s="469">
        <v>0.29199999999999998</v>
      </c>
      <c r="R8" s="472">
        <v>0.28199999999999997</v>
      </c>
      <c r="S8" s="469">
        <v>0.29799999999999999</v>
      </c>
      <c r="T8" s="472">
        <v>0.30099999999999999</v>
      </c>
      <c r="U8" s="496">
        <v>0.30499999999999999</v>
      </c>
      <c r="V8" s="471">
        <v>0.69099999999999995</v>
      </c>
      <c r="W8" s="469">
        <v>0.69899999999999995</v>
      </c>
      <c r="X8" s="472">
        <v>0.71199999999999997</v>
      </c>
      <c r="Y8" s="469">
        <v>0.746</v>
      </c>
      <c r="Z8" s="472">
        <v>0.76700000000000002</v>
      </c>
      <c r="AA8" s="470">
        <v>0.78400000000000003</v>
      </c>
      <c r="AC8" s="460"/>
      <c r="AD8" s="460"/>
      <c r="AE8" s="460"/>
      <c r="AF8" s="460"/>
    </row>
    <row r="9" spans="1:32" x14ac:dyDescent="0.25">
      <c r="A9" s="18">
        <v>15</v>
      </c>
      <c r="B9" s="18">
        <f t="shared" si="0"/>
        <v>0.16400000000000001</v>
      </c>
      <c r="C9" s="459">
        <v>0.16700000000000001</v>
      </c>
      <c r="D9" s="460">
        <v>0.161</v>
      </c>
      <c r="O9" s="467">
        <v>100</v>
      </c>
      <c r="P9" s="471">
        <v>0.32800000000000001</v>
      </c>
      <c r="Q9" s="472">
        <v>0.28799999999999998</v>
      </c>
      <c r="R9" s="472">
        <v>0.26900000000000002</v>
      </c>
      <c r="S9" s="472">
        <v>0.29299999999999998</v>
      </c>
      <c r="T9" s="472">
        <v>0.28100000000000003</v>
      </c>
      <c r="U9" s="505">
        <v>0.28399999999999997</v>
      </c>
      <c r="V9" s="471">
        <v>0.67400000000000004</v>
      </c>
      <c r="W9" s="472">
        <v>0.67400000000000004</v>
      </c>
      <c r="X9" s="472">
        <v>0.7</v>
      </c>
      <c r="Y9" s="472">
        <v>0.71299999999999997</v>
      </c>
      <c r="Z9" s="472">
        <v>0.70599999999999996</v>
      </c>
      <c r="AA9" s="473">
        <v>0.71299999999999997</v>
      </c>
      <c r="AC9" s="460"/>
      <c r="AD9" s="460"/>
      <c r="AE9" s="460"/>
      <c r="AF9" s="460"/>
    </row>
    <row r="10" spans="1:32" ht="15.75" thickBot="1" x14ac:dyDescent="0.3">
      <c r="A10" s="19">
        <v>0</v>
      </c>
      <c r="B10" s="19">
        <f t="shared" si="0"/>
        <v>0.16149999999999998</v>
      </c>
      <c r="C10" s="461">
        <v>0.17199999999999999</v>
      </c>
      <c r="D10" s="462">
        <v>0.151</v>
      </c>
      <c r="O10" s="467">
        <v>120</v>
      </c>
      <c r="P10" s="471">
        <v>0.28100000000000003</v>
      </c>
      <c r="Q10" s="472">
        <v>0.29599999999999999</v>
      </c>
      <c r="R10" s="472">
        <v>0.29599999999999999</v>
      </c>
      <c r="S10" s="472">
        <v>0.30099999999999999</v>
      </c>
      <c r="T10" s="472">
        <v>0.32400000000000001</v>
      </c>
      <c r="U10" s="505">
        <v>0.311</v>
      </c>
      <c r="V10" s="471">
        <v>0.72399999999999998</v>
      </c>
      <c r="W10" s="472">
        <v>0.72199999999999998</v>
      </c>
      <c r="X10" s="472">
        <v>0.77100000000000002</v>
      </c>
      <c r="Y10" s="472">
        <v>0.76200000000000001</v>
      </c>
      <c r="Z10" s="472">
        <v>0.755</v>
      </c>
      <c r="AA10" s="473">
        <v>0.77</v>
      </c>
      <c r="AD10" s="460"/>
      <c r="AE10" s="460"/>
      <c r="AF10" s="460"/>
    </row>
    <row r="11" spans="1:32" ht="15.75" thickBot="1" x14ac:dyDescent="0.3">
      <c r="O11" s="474">
        <v>400</v>
      </c>
      <c r="P11" s="495">
        <v>0.28100000000000003</v>
      </c>
      <c r="Q11" s="493">
        <v>0.29599999999999999</v>
      </c>
      <c r="R11" s="493">
        <v>0.29599999999999999</v>
      </c>
      <c r="S11" s="493">
        <v>0.30399999999999999</v>
      </c>
      <c r="T11" s="493">
        <v>0.312</v>
      </c>
      <c r="U11" s="497">
        <v>0.32200000000000001</v>
      </c>
      <c r="V11" s="495">
        <v>0.753</v>
      </c>
      <c r="W11" s="493">
        <v>0.76400000000000001</v>
      </c>
      <c r="X11" s="493">
        <v>0.76600000000000001</v>
      </c>
      <c r="Y11" s="493">
        <v>0.75800000000000001</v>
      </c>
      <c r="Z11" s="493">
        <v>0.78</v>
      </c>
      <c r="AA11" s="494">
        <v>0.80500000000000005</v>
      </c>
    </row>
    <row r="12" spans="1:32" x14ac:dyDescent="0.25">
      <c r="A12" s="20">
        <v>1000</v>
      </c>
      <c r="B12" s="21">
        <f t="shared" ref="B12:B19" si="1">AVERAGE(C12,D12)</f>
        <v>0.96699999999999997</v>
      </c>
      <c r="C12" s="457">
        <v>0.94499999999999995</v>
      </c>
      <c r="D12" s="458">
        <v>0.98899999999999999</v>
      </c>
      <c r="O12" s="511" t="s">
        <v>61</v>
      </c>
      <c r="P12" s="535" t="s">
        <v>62</v>
      </c>
      <c r="Q12" s="536"/>
      <c r="R12" s="536"/>
      <c r="S12" s="536"/>
      <c r="T12" s="536"/>
      <c r="U12" s="537"/>
      <c r="V12" s="538" t="s">
        <v>63</v>
      </c>
      <c r="W12" s="536"/>
      <c r="X12" s="536"/>
      <c r="Y12" s="536"/>
      <c r="Z12" s="536"/>
      <c r="AA12" s="539"/>
    </row>
    <row r="13" spans="1:32" ht="15.75" thickBot="1" x14ac:dyDescent="0.3">
      <c r="A13" s="7">
        <v>500</v>
      </c>
      <c r="B13" s="18">
        <f t="shared" si="1"/>
        <v>0.59250000000000003</v>
      </c>
      <c r="C13" s="459">
        <v>0.63100000000000001</v>
      </c>
      <c r="D13" s="460">
        <v>0.55400000000000005</v>
      </c>
      <c r="O13" s="512"/>
      <c r="P13" s="540">
        <v>1</v>
      </c>
      <c r="Q13" s="523"/>
      <c r="R13" s="523">
        <v>2</v>
      </c>
      <c r="S13" s="523"/>
      <c r="T13" s="523">
        <v>3</v>
      </c>
      <c r="U13" s="541"/>
      <c r="V13" s="542">
        <v>1</v>
      </c>
      <c r="W13" s="523"/>
      <c r="X13" s="523">
        <v>2</v>
      </c>
      <c r="Y13" s="523"/>
      <c r="Z13" s="523">
        <v>3</v>
      </c>
      <c r="AA13" s="524"/>
    </row>
    <row r="14" spans="1:32" x14ac:dyDescent="0.25">
      <c r="A14" s="7">
        <v>250</v>
      </c>
      <c r="B14" s="18">
        <f t="shared" si="1"/>
        <v>0.39349999999999996</v>
      </c>
      <c r="C14" s="459">
        <v>0.434</v>
      </c>
      <c r="D14" s="460">
        <v>0.35299999999999998</v>
      </c>
      <c r="O14" s="506">
        <v>0</v>
      </c>
      <c r="P14" s="498">
        <v>0.48399999999999999</v>
      </c>
      <c r="Q14" s="499">
        <v>0.59699999999999998</v>
      </c>
      <c r="R14" s="499">
        <v>0.499</v>
      </c>
      <c r="S14" s="499">
        <v>0.55500000000000005</v>
      </c>
      <c r="T14" s="499">
        <v>0.53900000000000003</v>
      </c>
      <c r="U14" s="508">
        <v>0.54200000000000004</v>
      </c>
      <c r="V14" s="498">
        <v>1.5049999999999999</v>
      </c>
      <c r="W14" s="499">
        <v>1.504</v>
      </c>
      <c r="X14" s="499">
        <v>1.5069999999999999</v>
      </c>
      <c r="Y14" s="499">
        <v>1.476</v>
      </c>
      <c r="Z14" s="499">
        <v>1.462</v>
      </c>
      <c r="AA14" s="500">
        <v>1.427</v>
      </c>
    </row>
    <row r="15" spans="1:32" x14ac:dyDescent="0.25">
      <c r="A15" s="7">
        <v>125</v>
      </c>
      <c r="B15" s="18">
        <f t="shared" si="1"/>
        <v>0.29599999999999999</v>
      </c>
      <c r="C15" s="459">
        <v>0.30599999999999999</v>
      </c>
      <c r="D15" s="460">
        <v>0.28599999999999998</v>
      </c>
      <c r="O15" s="216">
        <v>10</v>
      </c>
      <c r="P15" s="486">
        <v>0.46400000000000002</v>
      </c>
      <c r="Q15" s="484">
        <v>0.497</v>
      </c>
      <c r="R15" s="484">
        <v>0.46500000000000002</v>
      </c>
      <c r="S15" s="484">
        <v>0.48299999999999998</v>
      </c>
      <c r="T15" s="484">
        <v>0.42799999999999999</v>
      </c>
      <c r="U15" s="485">
        <v>0.45800000000000002</v>
      </c>
      <c r="V15" s="486">
        <v>1.306</v>
      </c>
      <c r="W15" s="484">
        <v>1.3420000000000001</v>
      </c>
      <c r="X15" s="484">
        <v>1.288</v>
      </c>
      <c r="Y15" s="484">
        <v>1.3</v>
      </c>
      <c r="Z15" s="484">
        <v>1.2609999999999999</v>
      </c>
      <c r="AA15" s="487">
        <v>1.2809999999999999</v>
      </c>
    </row>
    <row r="16" spans="1:32" x14ac:dyDescent="0.25">
      <c r="A16" s="7">
        <v>62.5</v>
      </c>
      <c r="B16" s="18">
        <f t="shared" si="1"/>
        <v>0.26450000000000001</v>
      </c>
      <c r="C16" s="459">
        <v>0.311</v>
      </c>
      <c r="D16" s="460">
        <v>0.218</v>
      </c>
      <c r="O16" s="216">
        <v>20</v>
      </c>
      <c r="P16" s="486">
        <v>0.50600000000000001</v>
      </c>
      <c r="Q16" s="484">
        <v>0.498</v>
      </c>
      <c r="R16" s="484">
        <v>0.49299999999999999</v>
      </c>
      <c r="S16" s="484">
        <v>0.49299999999999999</v>
      </c>
      <c r="T16" s="484">
        <v>0.47</v>
      </c>
      <c r="U16" s="485">
        <v>0.47399999999999998</v>
      </c>
      <c r="V16" s="486">
        <v>1.361</v>
      </c>
      <c r="W16" s="484">
        <v>1.3939999999999999</v>
      </c>
      <c r="X16" s="484">
        <v>1.292</v>
      </c>
      <c r="Y16" s="484">
        <v>1.306</v>
      </c>
      <c r="Z16" s="484">
        <v>1.407</v>
      </c>
      <c r="AA16" s="487">
        <v>1.3939999999999999</v>
      </c>
    </row>
    <row r="17" spans="1:28" x14ac:dyDescent="0.25">
      <c r="A17" s="7">
        <v>31.75</v>
      </c>
      <c r="B17" s="18">
        <f t="shared" si="1"/>
        <v>0.19650000000000001</v>
      </c>
      <c r="C17" s="459">
        <v>0.19800000000000001</v>
      </c>
      <c r="D17" s="460">
        <v>0.19500000000000001</v>
      </c>
      <c r="O17" s="216">
        <v>40</v>
      </c>
      <c r="P17" s="486">
        <v>0.54200000000000004</v>
      </c>
      <c r="Q17" s="484">
        <v>0.55700000000000005</v>
      </c>
      <c r="R17" s="484">
        <v>0.54400000000000004</v>
      </c>
      <c r="S17" s="484">
        <v>0.55000000000000004</v>
      </c>
      <c r="T17" s="484">
        <v>0.52800000000000002</v>
      </c>
      <c r="U17" s="485">
        <v>0.56999999999999995</v>
      </c>
      <c r="V17" s="486">
        <v>1.694</v>
      </c>
      <c r="W17" s="484">
        <v>1.73</v>
      </c>
      <c r="X17" s="484">
        <v>1.589</v>
      </c>
      <c r="Y17" s="484">
        <v>1.615</v>
      </c>
      <c r="Z17" s="484">
        <v>1.6080000000000001</v>
      </c>
      <c r="AA17" s="487">
        <v>1.601</v>
      </c>
    </row>
    <row r="18" spans="1:28" x14ac:dyDescent="0.25">
      <c r="A18" s="7">
        <v>15</v>
      </c>
      <c r="B18" s="18">
        <f t="shared" si="1"/>
        <v>0.17399999999999999</v>
      </c>
      <c r="C18" s="459">
        <v>0.17499999999999999</v>
      </c>
      <c r="D18" s="460">
        <v>0.17299999999999999</v>
      </c>
      <c r="O18" s="216">
        <v>100</v>
      </c>
      <c r="P18" s="486">
        <v>0.54</v>
      </c>
      <c r="Q18" s="484">
        <v>0.56200000000000006</v>
      </c>
      <c r="R18" s="484">
        <v>0.45400000000000001</v>
      </c>
      <c r="S18" s="484">
        <v>0.53500000000000003</v>
      </c>
      <c r="T18" s="484">
        <v>0.48499999999999999</v>
      </c>
      <c r="U18" s="485">
        <v>0.496</v>
      </c>
      <c r="V18" s="486">
        <v>1.6739999999999999</v>
      </c>
      <c r="W18" s="484">
        <v>1.7090000000000001</v>
      </c>
      <c r="X18" s="484">
        <v>1.45</v>
      </c>
      <c r="Y18" s="484">
        <v>1.496</v>
      </c>
      <c r="Z18" s="484">
        <v>1.4930000000000001</v>
      </c>
      <c r="AA18" s="487">
        <v>1.512</v>
      </c>
      <c r="AB18" s="460"/>
    </row>
    <row r="19" spans="1:28" ht="15.75" thickBot="1" x14ac:dyDescent="0.3">
      <c r="A19" s="8">
        <v>0</v>
      </c>
      <c r="B19" s="19">
        <f t="shared" si="1"/>
        <v>0.1535</v>
      </c>
      <c r="C19" s="461">
        <v>0.153</v>
      </c>
      <c r="D19" s="462">
        <v>0.154</v>
      </c>
      <c r="O19" s="216">
        <v>120</v>
      </c>
      <c r="P19" s="486">
        <v>0.501</v>
      </c>
      <c r="Q19" s="484">
        <v>0.51500000000000001</v>
      </c>
      <c r="R19" s="484">
        <v>0.51700000000000002</v>
      </c>
      <c r="S19" s="484">
        <v>0.55000000000000004</v>
      </c>
      <c r="T19" s="484">
        <v>0.50700000000000001</v>
      </c>
      <c r="U19" s="485">
        <v>0.51800000000000002</v>
      </c>
      <c r="V19" s="486">
        <v>1.46</v>
      </c>
      <c r="W19" s="484">
        <v>1.496</v>
      </c>
      <c r="X19" s="484">
        <v>1.4790000000000001</v>
      </c>
      <c r="Y19" s="484">
        <v>1.44</v>
      </c>
      <c r="Z19" s="484">
        <v>1.496</v>
      </c>
      <c r="AA19" s="487">
        <v>1.4830000000000001</v>
      </c>
    </row>
    <row r="20" spans="1:28" ht="15.75" thickBot="1" x14ac:dyDescent="0.3">
      <c r="O20" s="507">
        <v>400</v>
      </c>
      <c r="P20" s="491">
        <v>0.46400000000000002</v>
      </c>
      <c r="Q20" s="489">
        <v>0.48499999999999999</v>
      </c>
      <c r="R20" s="489">
        <v>0.46100000000000002</v>
      </c>
      <c r="S20" s="489">
        <v>0.505</v>
      </c>
      <c r="T20" s="489">
        <v>0.48199999999999998</v>
      </c>
      <c r="U20" s="490">
        <v>0.51600000000000001</v>
      </c>
      <c r="V20" s="491">
        <v>1.4339999999999999</v>
      </c>
      <c r="W20" s="489">
        <v>1.488</v>
      </c>
      <c r="X20" s="489">
        <v>1.4610000000000001</v>
      </c>
      <c r="Y20" s="489">
        <v>1.4590000000000001</v>
      </c>
      <c r="Z20" s="489">
        <v>1.448</v>
      </c>
      <c r="AA20" s="492">
        <v>1.458</v>
      </c>
    </row>
    <row r="21" spans="1:28" ht="15.75" thickBot="1" x14ac:dyDescent="0.3">
      <c r="A21" s="20">
        <v>1000</v>
      </c>
      <c r="B21" s="21">
        <f t="shared" ref="B21:B28" si="2">AVERAGE(C21,D21)</f>
        <v>0.91149999999999998</v>
      </c>
      <c r="C21" s="457">
        <v>0.90900000000000003</v>
      </c>
      <c r="D21" s="458">
        <v>0.91400000000000003</v>
      </c>
    </row>
    <row r="22" spans="1:28" x14ac:dyDescent="0.25">
      <c r="A22" s="7">
        <v>500</v>
      </c>
      <c r="B22" s="18">
        <f t="shared" si="2"/>
        <v>0.63050000000000006</v>
      </c>
      <c r="C22" s="459">
        <v>0.63400000000000001</v>
      </c>
      <c r="D22" s="460">
        <v>0.627</v>
      </c>
      <c r="M22" s="198" t="s">
        <v>67</v>
      </c>
      <c r="O22" s="525" t="s">
        <v>8</v>
      </c>
      <c r="P22" s="527" t="s">
        <v>62</v>
      </c>
      <c r="Q22" s="528"/>
      <c r="R22" s="528"/>
      <c r="S22" s="528"/>
      <c r="T22" s="528"/>
      <c r="U22" s="529"/>
      <c r="V22" s="530" t="s">
        <v>63</v>
      </c>
      <c r="W22" s="528"/>
      <c r="X22" s="528"/>
      <c r="Y22" s="528"/>
      <c r="Z22" s="528"/>
      <c r="AA22" s="529"/>
    </row>
    <row r="23" spans="1:28" ht="15.75" thickBot="1" x14ac:dyDescent="0.3">
      <c r="A23" s="7">
        <v>250</v>
      </c>
      <c r="B23" s="18">
        <f t="shared" si="2"/>
        <v>0.42400000000000004</v>
      </c>
      <c r="C23" s="459">
        <v>0.45200000000000001</v>
      </c>
      <c r="D23" s="460">
        <v>0.39600000000000002</v>
      </c>
      <c r="O23" s="526"/>
      <c r="P23" s="531">
        <v>1</v>
      </c>
      <c r="Q23" s="532"/>
      <c r="R23" s="532">
        <v>2</v>
      </c>
      <c r="S23" s="532"/>
      <c r="T23" s="532">
        <v>3</v>
      </c>
      <c r="U23" s="533"/>
      <c r="V23" s="534">
        <v>1</v>
      </c>
      <c r="W23" s="532"/>
      <c r="X23" s="532">
        <v>2</v>
      </c>
      <c r="Y23" s="532"/>
      <c r="Z23" s="532">
        <v>3</v>
      </c>
      <c r="AA23" s="533"/>
    </row>
    <row r="24" spans="1:28" x14ac:dyDescent="0.25">
      <c r="A24" s="7">
        <v>125</v>
      </c>
      <c r="B24" s="18">
        <f t="shared" si="2"/>
        <v>0.30299999999999999</v>
      </c>
      <c r="C24" s="459">
        <v>0.30299999999999999</v>
      </c>
      <c r="D24" s="460">
        <v>0.30299999999999999</v>
      </c>
      <c r="O24" s="463">
        <v>0</v>
      </c>
      <c r="P24" s="464">
        <f>(P5/0.0008)-0.1859</f>
        <v>244.8141</v>
      </c>
      <c r="Q24" s="464">
        <f t="shared" ref="Q24:AA24" si="3">(Q5/0.0008)-0.1859</f>
        <v>302.3141</v>
      </c>
      <c r="R24" s="464">
        <f t="shared" si="3"/>
        <v>356.06409999999994</v>
      </c>
      <c r="S24" s="464">
        <f t="shared" si="3"/>
        <v>394.8141</v>
      </c>
      <c r="T24" s="464">
        <f t="shared" si="3"/>
        <v>344.8141</v>
      </c>
      <c r="U24" s="509">
        <f t="shared" si="3"/>
        <v>387.3141</v>
      </c>
      <c r="V24" s="464">
        <f>(V5/0.0008)-0.1859</f>
        <v>493.5641</v>
      </c>
      <c r="W24" s="465">
        <f t="shared" si="3"/>
        <v>493.5641</v>
      </c>
      <c r="X24" s="465">
        <f t="shared" si="3"/>
        <v>844.81410000000005</v>
      </c>
      <c r="Y24" s="465">
        <f t="shared" si="3"/>
        <v>844.81410000000005</v>
      </c>
      <c r="Z24" s="465">
        <f t="shared" si="3"/>
        <v>821.06410000000005</v>
      </c>
      <c r="AA24" s="466">
        <f t="shared" si="3"/>
        <v>833.56410000000005</v>
      </c>
    </row>
    <row r="25" spans="1:28" x14ac:dyDescent="0.25">
      <c r="A25" s="7">
        <v>62.5</v>
      </c>
      <c r="B25" s="18">
        <f t="shared" si="2"/>
        <v>0.22750000000000001</v>
      </c>
      <c r="C25" s="459">
        <v>0.23300000000000001</v>
      </c>
      <c r="D25" s="460">
        <v>0.222</v>
      </c>
      <c r="O25" s="467">
        <v>10</v>
      </c>
      <c r="P25" s="468">
        <f t="shared" ref="P25:AA25" si="4">(P6/0.0008)-0.1859</f>
        <v>309.8141</v>
      </c>
      <c r="Q25" s="469">
        <f t="shared" si="4"/>
        <v>346.0641</v>
      </c>
      <c r="R25" s="469">
        <f t="shared" si="4"/>
        <v>327.3141</v>
      </c>
      <c r="S25" s="469">
        <f t="shared" si="4"/>
        <v>368.56409999999994</v>
      </c>
      <c r="T25" s="469">
        <f t="shared" si="4"/>
        <v>324.8141</v>
      </c>
      <c r="U25" s="496">
        <f t="shared" si="4"/>
        <v>359.81409999999994</v>
      </c>
      <c r="V25" s="468">
        <f t="shared" si="4"/>
        <v>703.56409999999994</v>
      </c>
      <c r="W25" s="469">
        <f t="shared" si="4"/>
        <v>737.31409999999994</v>
      </c>
      <c r="X25" s="469">
        <f t="shared" si="4"/>
        <v>829.81410000000005</v>
      </c>
      <c r="Y25" s="469">
        <f t="shared" si="4"/>
        <v>809.81410000000005</v>
      </c>
      <c r="Z25" s="469">
        <f t="shared" si="4"/>
        <v>804.81410000000005</v>
      </c>
      <c r="AA25" s="470">
        <f t="shared" si="4"/>
        <v>822.31410000000005</v>
      </c>
    </row>
    <row r="26" spans="1:28" x14ac:dyDescent="0.25">
      <c r="A26" s="7">
        <v>31.75</v>
      </c>
      <c r="B26" s="18">
        <f t="shared" si="2"/>
        <v>0.20600000000000002</v>
      </c>
      <c r="C26" s="459">
        <v>0.216</v>
      </c>
      <c r="D26" s="460">
        <v>0.19600000000000001</v>
      </c>
      <c r="O26" s="467">
        <v>20</v>
      </c>
      <c r="P26" s="468">
        <f t="shared" ref="P26:AA26" si="5">(P7/0.0008)-0.1859</f>
        <v>336.0641</v>
      </c>
      <c r="Q26" s="469">
        <f t="shared" si="5"/>
        <v>363.56409999999994</v>
      </c>
      <c r="R26" s="469">
        <f t="shared" si="5"/>
        <v>364.81409999999994</v>
      </c>
      <c r="S26" s="469">
        <f t="shared" si="5"/>
        <v>373.56409999999994</v>
      </c>
      <c r="T26" s="469">
        <f t="shared" si="5"/>
        <v>369.81409999999994</v>
      </c>
      <c r="U26" s="496">
        <f t="shared" si="5"/>
        <v>369.81409999999994</v>
      </c>
      <c r="V26" s="468">
        <f t="shared" si="5"/>
        <v>838.56410000000005</v>
      </c>
      <c r="W26" s="469">
        <f t="shared" si="5"/>
        <v>847.31410000000005</v>
      </c>
      <c r="X26" s="469">
        <f t="shared" si="5"/>
        <v>867.31409999999994</v>
      </c>
      <c r="Y26" s="469">
        <f t="shared" si="5"/>
        <v>919.81409999999994</v>
      </c>
      <c r="Z26" s="469">
        <f t="shared" si="5"/>
        <v>907.31409999999994</v>
      </c>
      <c r="AA26" s="470">
        <f t="shared" si="5"/>
        <v>939.81410000000005</v>
      </c>
    </row>
    <row r="27" spans="1:28" x14ac:dyDescent="0.25">
      <c r="A27" s="7">
        <v>15</v>
      </c>
      <c r="B27" s="18">
        <f t="shared" si="2"/>
        <v>0.17599999999999999</v>
      </c>
      <c r="C27" s="459">
        <v>0.18099999999999999</v>
      </c>
      <c r="D27" s="460">
        <v>0.17100000000000001</v>
      </c>
      <c r="N27" t="s">
        <v>128</v>
      </c>
      <c r="O27" s="467">
        <v>40</v>
      </c>
      <c r="P27" s="471">
        <f>(P8/0.0008)-0.1819</f>
        <v>332.31810000000002</v>
      </c>
      <c r="Q27" s="472">
        <f t="shared" ref="Q27:AA27" si="6">(Q8/0.0008)-0.1819</f>
        <v>364.81809999999996</v>
      </c>
      <c r="R27" s="472">
        <f t="shared" si="6"/>
        <v>352.31809999999996</v>
      </c>
      <c r="S27" s="472">
        <f t="shared" si="6"/>
        <v>372.31809999999996</v>
      </c>
      <c r="T27" s="472">
        <f t="shared" si="6"/>
        <v>376.06809999999996</v>
      </c>
      <c r="U27" s="505">
        <f t="shared" si="6"/>
        <v>381.06810000000002</v>
      </c>
      <c r="V27" s="471">
        <f t="shared" si="6"/>
        <v>863.56809999999984</v>
      </c>
      <c r="W27" s="472">
        <f t="shared" si="6"/>
        <v>873.56809999999984</v>
      </c>
      <c r="X27" s="472">
        <f t="shared" si="6"/>
        <v>889.81809999999984</v>
      </c>
      <c r="Y27" s="472">
        <f t="shared" si="6"/>
        <v>932.31809999999996</v>
      </c>
      <c r="Z27" s="472">
        <f t="shared" si="6"/>
        <v>958.56809999999996</v>
      </c>
      <c r="AA27" s="473">
        <f t="shared" si="6"/>
        <v>979.81809999999996</v>
      </c>
    </row>
    <row r="28" spans="1:28" ht="15.75" thickBot="1" x14ac:dyDescent="0.3">
      <c r="A28" s="8">
        <v>0</v>
      </c>
      <c r="B28" s="19">
        <f t="shared" si="2"/>
        <v>0.16400000000000001</v>
      </c>
      <c r="C28" s="461">
        <v>0.17100000000000001</v>
      </c>
      <c r="D28" s="462">
        <v>0.157</v>
      </c>
      <c r="O28" s="467">
        <v>100</v>
      </c>
      <c r="P28" s="468">
        <f t="shared" ref="P28:AA28" si="7">(P9/0.0008)-0.1859</f>
        <v>409.8141</v>
      </c>
      <c r="Q28" s="469">
        <f t="shared" si="7"/>
        <v>359.81409999999994</v>
      </c>
      <c r="R28" s="469">
        <f t="shared" si="7"/>
        <v>336.0641</v>
      </c>
      <c r="S28" s="469">
        <f t="shared" si="7"/>
        <v>366.06409999999994</v>
      </c>
      <c r="T28" s="469">
        <f t="shared" si="7"/>
        <v>351.0641</v>
      </c>
      <c r="U28" s="496">
        <f t="shared" si="7"/>
        <v>354.81409999999994</v>
      </c>
      <c r="V28" s="471">
        <f t="shared" si="7"/>
        <v>842.31410000000005</v>
      </c>
      <c r="W28" s="472">
        <f t="shared" si="7"/>
        <v>842.31410000000005</v>
      </c>
      <c r="X28" s="472">
        <f t="shared" si="7"/>
        <v>874.81409999999994</v>
      </c>
      <c r="Y28" s="472">
        <f t="shared" si="7"/>
        <v>891.06409999999994</v>
      </c>
      <c r="Z28" s="472">
        <f t="shared" si="7"/>
        <v>882.31409999999994</v>
      </c>
      <c r="AA28" s="473">
        <f t="shared" si="7"/>
        <v>891.06409999999994</v>
      </c>
    </row>
    <row r="29" spans="1:28" x14ac:dyDescent="0.25">
      <c r="O29" s="467">
        <v>120</v>
      </c>
      <c r="P29" s="468">
        <f t="shared" ref="P29:AA29" si="8">(P10/0.0008)-0.1859</f>
        <v>351.0641</v>
      </c>
      <c r="Q29" s="469">
        <f t="shared" si="8"/>
        <v>369.81409999999994</v>
      </c>
      <c r="R29" s="469">
        <f t="shared" si="8"/>
        <v>369.81409999999994</v>
      </c>
      <c r="S29" s="469">
        <f t="shared" si="8"/>
        <v>376.06409999999994</v>
      </c>
      <c r="T29" s="469">
        <f t="shared" si="8"/>
        <v>404.8141</v>
      </c>
      <c r="U29" s="496">
        <f t="shared" si="8"/>
        <v>388.5641</v>
      </c>
      <c r="V29" s="471">
        <f t="shared" si="8"/>
        <v>904.81409999999994</v>
      </c>
      <c r="W29" s="472">
        <f t="shared" si="8"/>
        <v>902.31409999999994</v>
      </c>
      <c r="X29" s="472">
        <f t="shared" si="8"/>
        <v>963.56410000000005</v>
      </c>
      <c r="Y29" s="472">
        <f t="shared" si="8"/>
        <v>952.31410000000005</v>
      </c>
      <c r="Z29" s="472">
        <f t="shared" si="8"/>
        <v>943.56410000000005</v>
      </c>
      <c r="AA29" s="473">
        <f t="shared" si="8"/>
        <v>962.31410000000005</v>
      </c>
    </row>
    <row r="30" spans="1:28" ht="15.75" thickBot="1" x14ac:dyDescent="0.3">
      <c r="O30" s="474">
        <v>400</v>
      </c>
      <c r="P30" s="475">
        <f t="shared" ref="P30:AA30" si="9">(P11/0.0008)-0.1859</f>
        <v>351.0641</v>
      </c>
      <c r="Q30" s="476">
        <f t="shared" si="9"/>
        <v>369.81409999999994</v>
      </c>
      <c r="R30" s="476">
        <f t="shared" si="9"/>
        <v>369.81409999999994</v>
      </c>
      <c r="S30" s="477">
        <f t="shared" si="9"/>
        <v>379.8141</v>
      </c>
      <c r="T30" s="477">
        <f t="shared" si="9"/>
        <v>389.8141</v>
      </c>
      <c r="U30" s="510">
        <f t="shared" si="9"/>
        <v>402.3141</v>
      </c>
      <c r="V30" s="495">
        <f t="shared" si="9"/>
        <v>941.06410000000005</v>
      </c>
      <c r="W30" s="493">
        <f t="shared" si="9"/>
        <v>954.81410000000005</v>
      </c>
      <c r="X30" s="493">
        <f t="shared" si="9"/>
        <v>957.31410000000005</v>
      </c>
      <c r="Y30" s="493">
        <f t="shared" si="9"/>
        <v>947.31410000000005</v>
      </c>
      <c r="Z30" s="493">
        <f t="shared" si="9"/>
        <v>974.81410000000005</v>
      </c>
      <c r="AA30" s="494">
        <f t="shared" si="9"/>
        <v>1006.0641000000001</v>
      </c>
    </row>
    <row r="31" spans="1:28" x14ac:dyDescent="0.25">
      <c r="O31" s="511" t="s">
        <v>61</v>
      </c>
      <c r="P31" s="513" t="s">
        <v>62</v>
      </c>
      <c r="Q31" s="514"/>
      <c r="R31" s="514"/>
      <c r="S31" s="514"/>
      <c r="T31" s="514"/>
      <c r="U31" s="515"/>
      <c r="V31" s="516" t="s">
        <v>63</v>
      </c>
      <c r="W31" s="514"/>
      <c r="X31" s="514"/>
      <c r="Y31" s="514"/>
      <c r="Z31" s="514"/>
      <c r="AA31" s="517"/>
    </row>
    <row r="32" spans="1:28" ht="15.75" thickBot="1" x14ac:dyDescent="0.3">
      <c r="O32" s="512"/>
      <c r="P32" s="518">
        <v>1</v>
      </c>
      <c r="Q32" s="519"/>
      <c r="R32" s="519">
        <v>2</v>
      </c>
      <c r="S32" s="519"/>
      <c r="T32" s="519">
        <v>3</v>
      </c>
      <c r="U32" s="520"/>
      <c r="V32" s="521">
        <v>1</v>
      </c>
      <c r="W32" s="519"/>
      <c r="X32" s="519">
        <v>2</v>
      </c>
      <c r="Y32" s="519"/>
      <c r="Z32" s="519">
        <v>3</v>
      </c>
      <c r="AA32" s="522"/>
    </row>
    <row r="33" spans="14:27" x14ac:dyDescent="0.25">
      <c r="O33" s="53">
        <v>0</v>
      </c>
      <c r="P33" s="478">
        <f>(P14/0.0008)-0.1918</f>
        <v>604.80820000000006</v>
      </c>
      <c r="Q33" s="479">
        <f t="shared" ref="Q33:AA33" si="10">(Q14/0.0008)-0.1918</f>
        <v>746.05819999999994</v>
      </c>
      <c r="R33" s="479">
        <f t="shared" si="10"/>
        <v>623.55820000000006</v>
      </c>
      <c r="S33" s="479">
        <f t="shared" si="10"/>
        <v>693.55820000000006</v>
      </c>
      <c r="T33" s="479">
        <f t="shared" si="10"/>
        <v>673.55820000000006</v>
      </c>
      <c r="U33" s="480">
        <f t="shared" si="10"/>
        <v>677.30820000000006</v>
      </c>
      <c r="V33" s="481">
        <f t="shared" si="10"/>
        <v>1881.0581999999997</v>
      </c>
      <c r="W33" s="479">
        <f t="shared" si="10"/>
        <v>1879.8081999999999</v>
      </c>
      <c r="X33" s="479">
        <f t="shared" si="10"/>
        <v>1883.5581999999997</v>
      </c>
      <c r="Y33" s="479">
        <f t="shared" si="10"/>
        <v>1844.8081999999997</v>
      </c>
      <c r="Z33" s="479">
        <f t="shared" si="10"/>
        <v>1827.3081999999997</v>
      </c>
      <c r="AA33" s="482">
        <f t="shared" si="10"/>
        <v>1783.5581999999999</v>
      </c>
    </row>
    <row r="34" spans="14:27" x14ac:dyDescent="0.25">
      <c r="O34" s="60">
        <v>10</v>
      </c>
      <c r="P34" s="478">
        <f t="shared" ref="P34:AA34" si="11">(P15/0.0008)-0.1918</f>
        <v>579.80820000000006</v>
      </c>
      <c r="Q34" s="479">
        <f t="shared" si="11"/>
        <v>621.05820000000006</v>
      </c>
      <c r="R34" s="479">
        <f t="shared" si="11"/>
        <v>581.05820000000006</v>
      </c>
      <c r="S34" s="479">
        <f t="shared" si="11"/>
        <v>603.55820000000006</v>
      </c>
      <c r="T34" s="479">
        <f t="shared" si="11"/>
        <v>534.80820000000006</v>
      </c>
      <c r="U34" s="480">
        <f t="shared" si="11"/>
        <v>572.30820000000006</v>
      </c>
      <c r="V34" s="481">
        <f t="shared" si="11"/>
        <v>1632.3081999999999</v>
      </c>
      <c r="W34" s="479">
        <f t="shared" si="11"/>
        <v>1677.3081999999999</v>
      </c>
      <c r="X34" s="479">
        <f t="shared" si="11"/>
        <v>1609.8081999999999</v>
      </c>
      <c r="Y34" s="479">
        <f t="shared" si="11"/>
        <v>1624.8081999999999</v>
      </c>
      <c r="Z34" s="479">
        <f t="shared" si="11"/>
        <v>1576.0581999999997</v>
      </c>
      <c r="AA34" s="482">
        <f t="shared" si="11"/>
        <v>1601.0581999999997</v>
      </c>
    </row>
    <row r="35" spans="14:27" x14ac:dyDescent="0.25">
      <c r="O35" s="60">
        <v>20</v>
      </c>
      <c r="P35" s="478">
        <f t="shared" ref="P35:AA35" si="12">(P16/0.0008)-0.1918</f>
        <v>632.30820000000006</v>
      </c>
      <c r="Q35" s="479">
        <f t="shared" si="12"/>
        <v>622.30820000000006</v>
      </c>
      <c r="R35" s="479">
        <f t="shared" si="12"/>
        <v>616.05820000000006</v>
      </c>
      <c r="S35" s="479">
        <f t="shared" si="12"/>
        <v>616.05820000000006</v>
      </c>
      <c r="T35" s="479">
        <f t="shared" si="12"/>
        <v>587.30819999999994</v>
      </c>
      <c r="U35" s="480">
        <f t="shared" si="12"/>
        <v>592.30819999999994</v>
      </c>
      <c r="V35" s="481">
        <f t="shared" si="12"/>
        <v>1701.0581999999999</v>
      </c>
      <c r="W35" s="479">
        <f t="shared" si="12"/>
        <v>1742.3081999999997</v>
      </c>
      <c r="X35" s="479">
        <f t="shared" si="12"/>
        <v>1614.8081999999999</v>
      </c>
      <c r="Y35" s="479">
        <f t="shared" si="12"/>
        <v>1632.3081999999999</v>
      </c>
      <c r="Z35" s="479">
        <f t="shared" si="12"/>
        <v>1758.5581999999999</v>
      </c>
      <c r="AA35" s="482">
        <f t="shared" si="12"/>
        <v>1742.3081999999997</v>
      </c>
    </row>
    <row r="36" spans="14:27" x14ac:dyDescent="0.25">
      <c r="N36" t="s">
        <v>128</v>
      </c>
      <c r="O36" s="60">
        <v>40</v>
      </c>
      <c r="P36" s="486">
        <f>(P17/0.0008)-0.1819</f>
        <v>677.31809999999996</v>
      </c>
      <c r="Q36" s="484">
        <f t="shared" ref="Q36:AA36" si="13">(Q17/0.0008)-0.1819</f>
        <v>696.06809999999996</v>
      </c>
      <c r="R36" s="484">
        <f t="shared" si="13"/>
        <v>679.81809999999996</v>
      </c>
      <c r="S36" s="484">
        <f t="shared" si="13"/>
        <v>687.31809999999996</v>
      </c>
      <c r="T36" s="484">
        <f t="shared" si="13"/>
        <v>659.81809999999996</v>
      </c>
      <c r="U36" s="485">
        <f t="shared" si="13"/>
        <v>712.31809999999984</v>
      </c>
      <c r="V36" s="486">
        <f t="shared" si="13"/>
        <v>2117.3181</v>
      </c>
      <c r="W36" s="484">
        <f t="shared" si="13"/>
        <v>2162.3181</v>
      </c>
      <c r="X36" s="484">
        <f t="shared" si="13"/>
        <v>1986.0680999999997</v>
      </c>
      <c r="Y36" s="484">
        <f t="shared" si="13"/>
        <v>2018.5681</v>
      </c>
      <c r="Z36" s="484">
        <f t="shared" si="13"/>
        <v>2009.8181</v>
      </c>
      <c r="AA36" s="487">
        <f t="shared" si="13"/>
        <v>2001.0680999999997</v>
      </c>
    </row>
    <row r="37" spans="14:27" x14ac:dyDescent="0.25">
      <c r="O37" s="60">
        <v>100</v>
      </c>
      <c r="P37" s="483">
        <f t="shared" ref="P37:AA37" si="14">(P18/0.0008)-0.1918</f>
        <v>674.80820000000006</v>
      </c>
      <c r="Q37" s="484">
        <f t="shared" si="14"/>
        <v>702.30820000000006</v>
      </c>
      <c r="R37" s="484">
        <f t="shared" si="14"/>
        <v>567.30820000000006</v>
      </c>
      <c r="S37" s="484">
        <f t="shared" si="14"/>
        <v>668.55820000000006</v>
      </c>
      <c r="T37" s="484">
        <f t="shared" si="14"/>
        <v>606.05820000000006</v>
      </c>
      <c r="U37" s="485">
        <f t="shared" si="14"/>
        <v>619.80820000000006</v>
      </c>
      <c r="V37" s="486">
        <f t="shared" si="14"/>
        <v>2092.3081999999999</v>
      </c>
      <c r="W37" s="484">
        <f t="shared" si="14"/>
        <v>2136.0581999999999</v>
      </c>
      <c r="X37" s="484">
        <f t="shared" si="14"/>
        <v>1812.3081999999997</v>
      </c>
      <c r="Y37" s="484">
        <f t="shared" si="14"/>
        <v>1869.8081999999999</v>
      </c>
      <c r="Z37" s="484">
        <f t="shared" si="14"/>
        <v>1866.0581999999999</v>
      </c>
      <c r="AA37" s="487">
        <f t="shared" si="14"/>
        <v>1889.8081999999999</v>
      </c>
    </row>
    <row r="38" spans="14:27" x14ac:dyDescent="0.25">
      <c r="O38" s="60">
        <v>120</v>
      </c>
      <c r="P38" s="483">
        <f t="shared" ref="P38:AA38" si="15">(P19/0.0008)-0.1918</f>
        <v>626.05820000000006</v>
      </c>
      <c r="Q38" s="484">
        <f t="shared" si="15"/>
        <v>643.55820000000006</v>
      </c>
      <c r="R38" s="484">
        <f t="shared" si="15"/>
        <v>646.05820000000006</v>
      </c>
      <c r="S38" s="484">
        <f t="shared" si="15"/>
        <v>687.30820000000006</v>
      </c>
      <c r="T38" s="484">
        <f t="shared" si="15"/>
        <v>633.55820000000006</v>
      </c>
      <c r="U38" s="485">
        <f t="shared" si="15"/>
        <v>647.30820000000006</v>
      </c>
      <c r="V38" s="486">
        <f t="shared" si="15"/>
        <v>1824.8081999999997</v>
      </c>
      <c r="W38" s="484">
        <f t="shared" si="15"/>
        <v>1869.8081999999999</v>
      </c>
      <c r="X38" s="484">
        <f t="shared" si="15"/>
        <v>1848.5581999999999</v>
      </c>
      <c r="Y38" s="484">
        <f t="shared" si="15"/>
        <v>1799.8081999999997</v>
      </c>
      <c r="Z38" s="484">
        <f t="shared" si="15"/>
        <v>1869.8081999999999</v>
      </c>
      <c r="AA38" s="487">
        <f t="shared" si="15"/>
        <v>1853.5581999999999</v>
      </c>
    </row>
    <row r="39" spans="14:27" ht="15.75" thickBot="1" x14ac:dyDescent="0.3">
      <c r="O39" s="63">
        <v>400</v>
      </c>
      <c r="P39" s="488">
        <f t="shared" ref="P39:AA39" si="16">(P20/0.0008)-0.1918</f>
        <v>579.80820000000006</v>
      </c>
      <c r="Q39" s="489">
        <f t="shared" si="16"/>
        <v>606.05820000000006</v>
      </c>
      <c r="R39" s="489">
        <f t="shared" si="16"/>
        <v>576.05820000000006</v>
      </c>
      <c r="S39" s="489">
        <f t="shared" si="16"/>
        <v>631.05820000000006</v>
      </c>
      <c r="T39" s="489">
        <f t="shared" si="16"/>
        <v>602.30820000000006</v>
      </c>
      <c r="U39" s="490">
        <f t="shared" si="16"/>
        <v>644.80820000000006</v>
      </c>
      <c r="V39" s="491">
        <f t="shared" si="16"/>
        <v>1792.3081999999997</v>
      </c>
      <c r="W39" s="489">
        <f t="shared" si="16"/>
        <v>1859.8081999999999</v>
      </c>
      <c r="X39" s="489">
        <f t="shared" si="16"/>
        <v>1826.0581999999999</v>
      </c>
      <c r="Y39" s="489">
        <f t="shared" si="16"/>
        <v>1823.5581999999999</v>
      </c>
      <c r="Z39" s="489">
        <f t="shared" si="16"/>
        <v>1809.8081999999997</v>
      </c>
      <c r="AA39" s="492">
        <f t="shared" si="16"/>
        <v>1822.3081999999997</v>
      </c>
    </row>
  </sheetData>
  <mergeCells count="39">
    <mergeCell ref="V3:AA3"/>
    <mergeCell ref="P4:Q4"/>
    <mergeCell ref="R4:S4"/>
    <mergeCell ref="T4:U4"/>
    <mergeCell ref="V4:W4"/>
    <mergeCell ref="A1:A2"/>
    <mergeCell ref="B1:B2"/>
    <mergeCell ref="C1:D1"/>
    <mergeCell ref="O3:O4"/>
    <mergeCell ref="P3:U3"/>
    <mergeCell ref="X4:Y4"/>
    <mergeCell ref="Z4:AA4"/>
    <mergeCell ref="O12:O13"/>
    <mergeCell ref="P12:U12"/>
    <mergeCell ref="V12:AA12"/>
    <mergeCell ref="P13:Q13"/>
    <mergeCell ref="R13:S13"/>
    <mergeCell ref="T13:U13"/>
    <mergeCell ref="V13:W13"/>
    <mergeCell ref="X13:Y13"/>
    <mergeCell ref="Z13:AA13"/>
    <mergeCell ref="O22:O23"/>
    <mergeCell ref="P22:U22"/>
    <mergeCell ref="V22:AA22"/>
    <mergeCell ref="P23:Q23"/>
    <mergeCell ref="R23:S23"/>
    <mergeCell ref="T23:U23"/>
    <mergeCell ref="V23:W23"/>
    <mergeCell ref="X23:Y23"/>
    <mergeCell ref="Z23:AA23"/>
    <mergeCell ref="O31:O32"/>
    <mergeCell ref="P31:U31"/>
    <mergeCell ref="V31:AA31"/>
    <mergeCell ref="P32:Q32"/>
    <mergeCell ref="R32:S32"/>
    <mergeCell ref="T32:U32"/>
    <mergeCell ref="V32:W32"/>
    <mergeCell ref="X32:Y32"/>
    <mergeCell ref="Z32:AA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(1-2) Flow Data</vt:lpstr>
      <vt:lpstr>(3) Resazurin</vt:lpstr>
      <vt:lpstr>(3) Resazurin Raw</vt:lpstr>
      <vt:lpstr>(4) Design</vt:lpstr>
      <vt:lpstr>(4) Checklist</vt:lpstr>
      <vt:lpstr>(5) Cell Meta-data</vt:lpstr>
      <vt:lpstr>Protein Concentration Cancer</vt:lpstr>
      <vt:lpstr>Protein Concentration Healthy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Hird, Megan</dc:creator>
  <cp:lastModifiedBy>Hird, Megan</cp:lastModifiedBy>
  <dcterms:created xsi:type="dcterms:W3CDTF">2026-07-09T17:37:25Z</dcterms:created>
  <dcterms:modified xsi:type="dcterms:W3CDTF">2026-08-28T13:44:55Z</dcterms:modified>
</cp:coreProperties>
</file>